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pivotCache/pivotCacheDefinition6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58c9ad7e4e22c8/Desktop/Matias Excel/"/>
    </mc:Choice>
  </mc:AlternateContent>
  <xr:revisionPtr revIDLastSave="415" documentId="8_{3C8BA1E2-AF92-4AFF-90A2-BCFE9D1B2B06}" xr6:coauthVersionLast="47" xr6:coauthVersionMax="47" xr10:uidLastSave="{885CD35A-C640-437E-843F-82F423A07EDD}"/>
  <bookViews>
    <workbookView xWindow="-108" yWindow="-108" windowWidth="23256" windowHeight="12456" xr2:uid="{1A9F3A83-23F0-4CD7-817D-659FEBC75E44}"/>
  </bookViews>
  <sheets>
    <sheet name="Dashboard Final" sheetId="9" r:id="rId1"/>
    <sheet name="Datos_Analisis" sheetId="5" r:id="rId2"/>
    <sheet name="Estadisticas" sheetId="6" r:id="rId3"/>
    <sheet name="Tabla_Dinamica" sheetId="1" r:id="rId4"/>
    <sheet name="Hoja2" sheetId="11" r:id="rId5"/>
    <sheet name="Calculos" sheetId="10" r:id="rId6"/>
    <sheet name="Escenarios" sheetId="7" r:id="rId7"/>
    <sheet name="Resumen del escenario" sheetId="8" r:id="rId8"/>
  </sheets>
  <definedNames>
    <definedName name="_xlchart.v1.0" hidden="1">Calculos!$A$22:$A$26</definedName>
    <definedName name="_xlchart.v1.1" hidden="1">Calculos!$B$21</definedName>
    <definedName name="_xlchart.v1.2" hidden="1">Calculos!$B$22:$B$26</definedName>
    <definedName name="_xlchart.v1.3" hidden="1">Calculos!$A$22:$A$26</definedName>
    <definedName name="_xlchart.v1.4" hidden="1">Calculos!$B$21</definedName>
    <definedName name="_xlchart.v1.5" hidden="1">Calculos!$B$22:$B$26</definedName>
    <definedName name="_xlchart.v1.6" hidden="1">Calculos!$A$22:$A$26</definedName>
    <definedName name="_xlchart.v1.7" hidden="1">Calculos!$B$21</definedName>
    <definedName name="_xlchart.v1.8" hidden="1">Calculos!$B$22:$B$26</definedName>
    <definedName name="DatosExternos_1" localSheetId="1" hidden="1">Datos_Analisis!$A$1:$A$309</definedName>
    <definedName name="DatosExternos_1" localSheetId="4" hidden="1">Hoja2!$A$3:$H$311</definedName>
    <definedName name="SegmentaciónDeDatos_Categoria">#N/A</definedName>
    <definedName name="SegmentaciónDeDatos_Segmento">#N/A</definedName>
    <definedName name="Timeline_Fecha">#N/A</definedName>
  </definedNames>
  <calcPr calcId="191029" calcMode="manual"/>
  <pivotCaches>
    <pivotCache cacheId="0" r:id="rId9"/>
    <pivotCache cacheId="1" r:id="rId10"/>
    <pivotCache cacheId="2" r:id="rId11"/>
    <pivotCache cacheId="3" r:id="rId12"/>
  </pivotCaches>
  <extLst>
    <ext xmlns:x14="http://schemas.microsoft.com/office/spreadsheetml/2009/9/main" uri="{876F7934-8845-4945-9796-88D515C7AA90}">
      <x14:pivotCaches>
        <pivotCache cacheId="4" r:id="rId13"/>
      </x14:pivotCaches>
    </ext>
    <ext xmlns:x14="http://schemas.microsoft.com/office/spreadsheetml/2009/9/main" uri="{BBE1A952-AA13-448e-AADC-164F8A28A991}">
      <x14:slicerCaches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5" r:id="rId16"/>
      </x15:timelineCachePivotCaches>
    </ext>
    <ext xmlns:x15="http://schemas.microsoft.com/office/spreadsheetml/2010/11/main" uri="{D0CA8CA8-9F24-4464-BF8E-62219DCF47F9}">
      <x15:timelineCacheRefs>
        <x15:timelineCacheRef r:id="rId17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tas_1ca03914-4a38-4ec8-ba93-20cfec1ff051" name="ventas" connection="Consulta - ventas"/>
          <x15:modelTable id="productos_0cbad165-dc23-4af3-9309-cb9988ed553c" name="productos" connection="Consulta - productos"/>
          <x15:modelTable id="clientes_9ba2a929-d2e7-4c36-8bd0-37e692f2122b" name="clientes" connection="Consulta - clientes"/>
          <x15:modelTable id="Calendario_d72229c2-8868-4acb-a2e5-d560c5345ff7" name="Calendario" connection="Consulta - Calendario"/>
        </x15:modelTables>
        <x15:modelRelationships>
          <x15:modelRelationship fromTable="ventas" fromColumn="Fecha" toTable="Calendario" toColumn="Fecha"/>
          <x15:modelRelationship fromTable="ventas" fromColumn="ID_Cliente" toTable="clientes" toColumn="ID_Cliente"/>
          <x15:modelRelationship fromTable="ventas" fromColumn="ID_Producto" toTable="productos" toColumn="ID_Product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3" i="10" l="1"/>
  <c r="B25" i="10"/>
  <c r="B24" i="10"/>
  <c r="B23" i="10"/>
  <c r="B26" i="10" s="1"/>
  <c r="B5" i="9"/>
  <c r="A19" i="10"/>
  <c r="D6" i="9"/>
  <c r="C6" i="9"/>
  <c r="B6" i="9"/>
  <c r="C5" i="9"/>
  <c r="B14" i="10" a="1"/>
  <c r="B14" i="10"/>
  <c r="B22" i="10"/>
  <c r="A18" i="10"/>
  <c r="D5" i="9" l="1"/>
  <c r="B4" i="7"/>
  <c r="B3" i="7"/>
  <c r="B6" i="7" l="1"/>
  <c r="B7" i="7" s="1"/>
  <c r="B8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681245-D38A-4892-A902-67D5388E1003}" name="Consulta - Calendario" description="Conexión a la consulta 'Calendario' en el libro." type="100" refreshedVersion="8" minRefreshableVersion="5">
    <extLst>
      <ext xmlns:x15="http://schemas.microsoft.com/office/spreadsheetml/2010/11/main" uri="{DE250136-89BD-433C-8126-D09CA5730AF9}">
        <x15:connection id="13465f3e-8262-45db-8835-8d4138584aee"/>
      </ext>
    </extLst>
  </connection>
  <connection id="2" xr16:uid="{862CDF80-D1E5-4565-8748-1E4B953AEE8C}" name="Consulta - clientes" description="Conexión a la consulta 'clientes' en el libro." type="100" refreshedVersion="8" minRefreshableVersion="5">
    <extLst>
      <ext xmlns:x15="http://schemas.microsoft.com/office/spreadsheetml/2010/11/main" uri="{DE250136-89BD-433C-8126-D09CA5730AF9}">
        <x15:connection id="361e8b67-d26f-4aed-b1f7-6003c93991db">
          <x15:oledbPr connection="Provider=Microsoft.Mashup.OleDb.1;Data Source=$Workbook$;Location=clientes;Extended Properties=&quot;&quot;">
            <x15:dbTables>
              <x15:dbTable name="clientes"/>
            </x15:dbTables>
          </x15:oledbPr>
        </x15:connection>
      </ext>
    </extLst>
  </connection>
  <connection id="3" xr16:uid="{9CCA1AF7-4D25-458F-8909-6EF6F3CADADE}" name="Consulta - productos" description="Conexión a la consulta 'productos' en el libro." type="100" refreshedVersion="8" minRefreshableVersion="5">
    <extLst>
      <ext xmlns:x15="http://schemas.microsoft.com/office/spreadsheetml/2010/11/main" uri="{DE250136-89BD-433C-8126-D09CA5730AF9}">
        <x15:connection id="57c988eb-81ae-4eb8-a779-b38a70769bf6">
          <x15:oledbPr connection="Provider=Microsoft.Mashup.OleDb.1;Data Source=$Workbook$;Location=productos;Extended Properties=&quot;&quot;">
            <x15:dbTables>
              <x15:dbTable name="productos"/>
            </x15:dbTables>
          </x15:oledbPr>
        </x15:connection>
      </ext>
    </extLst>
  </connection>
  <connection id="4" xr16:uid="{39AE7407-33BA-4F4B-989C-07EEBEB08866}" name="Consulta - ventas" description="Conexión a la consulta 'ventas' en el libro." type="100" refreshedVersion="8" minRefreshableVersion="5">
    <extLst>
      <ext xmlns:x15="http://schemas.microsoft.com/office/spreadsheetml/2010/11/main" uri="{DE250136-89BD-433C-8126-D09CA5730AF9}">
        <x15:connection id="0e6a450a-8d3d-47b6-af5b-2c2bee7353e8"/>
      </ext>
    </extLst>
  </connection>
  <connection id="5" xr16:uid="{0382D043-26BB-44DE-A92B-7EED4D6F27FC}" keepAlive="1" name="Consulta - Ventas_Analisis" description="Conexión a la consulta 'Ventas_Analisis' en el libro." type="5" refreshedVersion="8" background="1" saveData="1">
    <dbPr connection="Provider=Microsoft.Mashup.OleDb.1;Data Source=$Workbook$;Location=Ventas_Analisis;Extended Properties=&quot;&quot;" command="SELECT * FROM [Ventas_Analisis]"/>
  </connection>
  <connection id="6" xr16:uid="{FA06877E-70F8-420F-BB99-06E081330643}" keepAlive="1" name="ModelConnection_DatosExternos_1" description="Modelo de datos" type="5" refreshedVersion="8" minRefreshableVersion="5" saveData="1">
    <dbPr connection="Data Model Connection" command="DRILLTHROUGH MAXROWS 1000 SELECT FROM [Model] WHERE ([Measures].[Total Ventas]) RETURN [$ventas].[ID_Venta],[$ventas].[Fecha],[$ventas].[ID_Cliente],[$ventas].[ID_Producto],[$ventas].[Cantidad],[$ventas].[Precio_Unitario],[$ventas].[Costo_Unitario],[$ventas].[Importe]" commandType="4"/>
    <extLst>
      <ext xmlns:x15="http://schemas.microsoft.com/office/spreadsheetml/2010/11/main" uri="{DE250136-89BD-433C-8126-D09CA5730AF9}">
        <x15:connection id="" model="1"/>
      </ext>
    </extLst>
  </connection>
  <connection id="7" xr16:uid="{A64D9ECF-2220-4A13-919D-A2BCA11F9654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<sst xmlns="http://schemas.openxmlformats.org/spreadsheetml/2006/main" count="1025" uniqueCount="399">
  <si>
    <t>Abril</t>
  </si>
  <si>
    <t>Agosto</t>
  </si>
  <si>
    <t>Enero</t>
  </si>
  <si>
    <t>Febrero</t>
  </si>
  <si>
    <t>Julio</t>
  </si>
  <si>
    <t>Junio</t>
  </si>
  <si>
    <t>Marzo</t>
  </si>
  <si>
    <t>Mayo</t>
  </si>
  <si>
    <t>Septiembre</t>
  </si>
  <si>
    <t>Total general</t>
  </si>
  <si>
    <t>Etiquetas de fila</t>
  </si>
  <si>
    <t>Total Ventas</t>
  </si>
  <si>
    <t>Margen Neto</t>
  </si>
  <si>
    <t>Importe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</si>
  <si>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</si>
  <si>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</si>
  <si>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</si>
  <si>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</si>
  <si>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</si>
  <si>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</si>
  <si>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</si>
  <si>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</si>
  <si>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</si>
  <si>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</si>
  <si>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</si>
  <si>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</si>
  <si>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</si>
  <si>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Simulación de escenarios</t>
  </si>
  <si>
    <t>Ventas totales</t>
  </si>
  <si>
    <t>Costo base</t>
  </si>
  <si>
    <t>Costo ajustado</t>
  </si>
  <si>
    <t>Margen%</t>
  </si>
  <si>
    <t>$B$5</t>
  </si>
  <si>
    <t>$B$7</t>
  </si>
  <si>
    <t>$B$8</t>
  </si>
  <si>
    <t>pesimista</t>
  </si>
  <si>
    <t>Creado por silvana ojeda el 1/10/2026</t>
  </si>
  <si>
    <t>base</t>
  </si>
  <si>
    <t>optimista</t>
  </si>
  <si>
    <t>Resumen del escenario</t>
  </si>
  <si>
    <t>Celdas cambiantes:</t>
  </si>
  <si>
    <t>Valores actuales:</t>
  </si>
  <si>
    <t>Celdas de resultado:</t>
  </si>
  <si>
    <t>Notas: La columna de valores actuales representa los valores de las celdas cambiantes</t>
  </si>
  <si>
    <t>en el momento en que se creó el Informe resumen de escenario. Las celdas cambiantes de</t>
  </si>
  <si>
    <t>cada escenario se muestran en gris.</t>
  </si>
  <si>
    <t>Variación del costo (%)</t>
  </si>
  <si>
    <t>% Margen</t>
  </si>
  <si>
    <t>Almacén</t>
  </si>
  <si>
    <t>Bebidas</t>
  </si>
  <si>
    <t>Lácteos</t>
  </si>
  <si>
    <t>Limpieza</t>
  </si>
  <si>
    <t>ventas[ID_Venta]</t>
  </si>
  <si>
    <t>ventas[Fecha]</t>
  </si>
  <si>
    <t>ventas[ID_Cliente]</t>
  </si>
  <si>
    <t>ventas[ID_Producto]</t>
  </si>
  <si>
    <t>ventas[Cantidad]</t>
  </si>
  <si>
    <t>ventas[Precio_Unitario]</t>
  </si>
  <si>
    <t>ventas[Costo_Unitario]</t>
  </si>
  <si>
    <t>ventas[Importe]</t>
  </si>
  <si>
    <t>V-0001</t>
  </si>
  <si>
    <t>DIS-304</t>
  </si>
  <si>
    <t>PRD-006</t>
  </si>
  <si>
    <t>V-0002</t>
  </si>
  <si>
    <t>DIS-305</t>
  </si>
  <si>
    <t>PRD-012</t>
  </si>
  <si>
    <t>V-0003</t>
  </si>
  <si>
    <t>PRD-003</t>
  </si>
  <si>
    <t>V-0004</t>
  </si>
  <si>
    <t>DIS-308</t>
  </si>
  <si>
    <t>PRD-005</t>
  </si>
  <si>
    <t>V-0005</t>
  </si>
  <si>
    <t>DIS-307</t>
  </si>
  <si>
    <t>PRD-002</t>
  </si>
  <si>
    <t>V-0006</t>
  </si>
  <si>
    <t>PRD-008</t>
  </si>
  <si>
    <t>V-0007</t>
  </si>
  <si>
    <t>PRD-010</t>
  </si>
  <si>
    <t>V-0008</t>
  </si>
  <si>
    <t>V-0009</t>
  </si>
  <si>
    <t>DIS-303</t>
  </si>
  <si>
    <t>V-0010</t>
  </si>
  <si>
    <t>DIS-301</t>
  </si>
  <si>
    <t>PRD-004</t>
  </si>
  <si>
    <t>V-0011</t>
  </si>
  <si>
    <t>V-0012</t>
  </si>
  <si>
    <t>DIS-302</t>
  </si>
  <si>
    <t>PRD-011</t>
  </si>
  <si>
    <t>V-0013</t>
  </si>
  <si>
    <t>V-0014</t>
  </si>
  <si>
    <t>V-0015</t>
  </si>
  <si>
    <t>DIS-306</t>
  </si>
  <si>
    <t>PRD-007</t>
  </si>
  <si>
    <t>V-0016</t>
  </si>
  <si>
    <t>V-0017</t>
  </si>
  <si>
    <t>V-0018</t>
  </si>
  <si>
    <t>V-0019</t>
  </si>
  <si>
    <t>V-0020</t>
  </si>
  <si>
    <t>PRD-009</t>
  </si>
  <si>
    <t>V-0021</t>
  </si>
  <si>
    <t>V-0022</t>
  </si>
  <si>
    <t>V-0023</t>
  </si>
  <si>
    <t>V-0024</t>
  </si>
  <si>
    <t>V-0025</t>
  </si>
  <si>
    <t>V-0026</t>
  </si>
  <si>
    <t>V-0027</t>
  </si>
  <si>
    <t>V-0028</t>
  </si>
  <si>
    <t>V-0029</t>
  </si>
  <si>
    <t>V-0030</t>
  </si>
  <si>
    <t>PRD-001</t>
  </si>
  <si>
    <t>V-0031</t>
  </si>
  <si>
    <t>V-0032</t>
  </si>
  <si>
    <t>V-0033</t>
  </si>
  <si>
    <t>V-0034</t>
  </si>
  <si>
    <t>V-0035</t>
  </si>
  <si>
    <t>V-0036</t>
  </si>
  <si>
    <t>V-0037</t>
  </si>
  <si>
    <t>V-0038</t>
  </si>
  <si>
    <t>V-0039</t>
  </si>
  <si>
    <t>V-0040</t>
  </si>
  <si>
    <t>V-0041</t>
  </si>
  <si>
    <t>V-0042</t>
  </si>
  <si>
    <t>V-0043</t>
  </si>
  <si>
    <t>V-0044</t>
  </si>
  <si>
    <t>V-0045</t>
  </si>
  <si>
    <t>V-0046</t>
  </si>
  <si>
    <t>V-0047</t>
  </si>
  <si>
    <t>V-0048</t>
  </si>
  <si>
    <t>V-0049</t>
  </si>
  <si>
    <t>V-0050</t>
  </si>
  <si>
    <t>V-0052</t>
  </si>
  <si>
    <t>V-0053</t>
  </si>
  <si>
    <t>V-0054</t>
  </si>
  <si>
    <t>V-0055</t>
  </si>
  <si>
    <t>V-0056</t>
  </si>
  <si>
    <t>V-0057</t>
  </si>
  <si>
    <t>V-0058</t>
  </si>
  <si>
    <t>V-0060</t>
  </si>
  <si>
    <t>V-0061</t>
  </si>
  <si>
    <t>V-0062</t>
  </si>
  <si>
    <t>V-0063</t>
  </si>
  <si>
    <t>V-0064</t>
  </si>
  <si>
    <t>V-0065</t>
  </si>
  <si>
    <t>V-0066</t>
  </si>
  <si>
    <t>V-0067</t>
  </si>
  <si>
    <t>V-0068</t>
  </si>
  <si>
    <t>V-0069</t>
  </si>
  <si>
    <t>V-0070</t>
  </si>
  <si>
    <t>V-0071</t>
  </si>
  <si>
    <t>V-0072</t>
  </si>
  <si>
    <t>V-0073</t>
  </si>
  <si>
    <t>V-0074</t>
  </si>
  <si>
    <t>V-0075</t>
  </si>
  <si>
    <t>V-0076</t>
  </si>
  <si>
    <t>V-0077</t>
  </si>
  <si>
    <t>V-0078</t>
  </si>
  <si>
    <t>V-0079</t>
  </si>
  <si>
    <t>V-0080</t>
  </si>
  <si>
    <t>V-0081</t>
  </si>
  <si>
    <t>V-0082</t>
  </si>
  <si>
    <t>V-0083</t>
  </si>
  <si>
    <t>V-0084</t>
  </si>
  <si>
    <t>V-0085</t>
  </si>
  <si>
    <t>V-0086</t>
  </si>
  <si>
    <t>V-0087</t>
  </si>
  <si>
    <t>V-0088</t>
  </si>
  <si>
    <t>V-0089</t>
  </si>
  <si>
    <t>V-0090</t>
  </si>
  <si>
    <t>V-0091</t>
  </si>
  <si>
    <t>V-0092</t>
  </si>
  <si>
    <t>V-0093</t>
  </si>
  <si>
    <t>V-0094</t>
  </si>
  <si>
    <t>V-0095</t>
  </si>
  <si>
    <t>V-0096</t>
  </si>
  <si>
    <t>V-0097</t>
  </si>
  <si>
    <t>V-0098</t>
  </si>
  <si>
    <t>V-0099</t>
  </si>
  <si>
    <t>V-0100</t>
  </si>
  <si>
    <t>V-0101</t>
  </si>
  <si>
    <t>V-0102</t>
  </si>
  <si>
    <t>V-0103</t>
  </si>
  <si>
    <t>V-0104</t>
  </si>
  <si>
    <t>V-0105</t>
  </si>
  <si>
    <t>V-0106</t>
  </si>
  <si>
    <t>V-0107</t>
  </si>
  <si>
    <t>V-0108</t>
  </si>
  <si>
    <t>V-0109</t>
  </si>
  <si>
    <t>V-0110</t>
  </si>
  <si>
    <t>V-0112</t>
  </si>
  <si>
    <t>V-0113</t>
  </si>
  <si>
    <t>V-0114</t>
  </si>
  <si>
    <t>V-0115</t>
  </si>
  <si>
    <t>V-0116</t>
  </si>
  <si>
    <t>V-0118</t>
  </si>
  <si>
    <t>V-0119</t>
  </si>
  <si>
    <t>V-0120</t>
  </si>
  <si>
    <t>V-0121</t>
  </si>
  <si>
    <t>V-0122</t>
  </si>
  <si>
    <t>V-0123</t>
  </si>
  <si>
    <t>V-0124</t>
  </si>
  <si>
    <t>V-0125</t>
  </si>
  <si>
    <t>V-0126</t>
  </si>
  <si>
    <t>V-0127</t>
  </si>
  <si>
    <t>V-0128</t>
  </si>
  <si>
    <t>V-0129</t>
  </si>
  <si>
    <t>V-0130</t>
  </si>
  <si>
    <t>V-0131</t>
  </si>
  <si>
    <t>V-0132</t>
  </si>
  <si>
    <t>V-0133</t>
  </si>
  <si>
    <t>V-0134</t>
  </si>
  <si>
    <t>V-0135</t>
  </si>
  <si>
    <t>V-0136</t>
  </si>
  <si>
    <t>V-0137</t>
  </si>
  <si>
    <t>V-0138</t>
  </si>
  <si>
    <t>V-0139</t>
  </si>
  <si>
    <t>V-0140</t>
  </si>
  <si>
    <t>V-0141</t>
  </si>
  <si>
    <t>V-0142</t>
  </si>
  <si>
    <t>V-0143</t>
  </si>
  <si>
    <t>V-0144</t>
  </si>
  <si>
    <t>V-0145</t>
  </si>
  <si>
    <t>V-0146</t>
  </si>
  <si>
    <t>V-0147</t>
  </si>
  <si>
    <t>V-0148</t>
  </si>
  <si>
    <t>V-0149</t>
  </si>
  <si>
    <t>V-0150</t>
  </si>
  <si>
    <t>V-0151</t>
  </si>
  <si>
    <t>V-0152</t>
  </si>
  <si>
    <t>V-0153</t>
  </si>
  <si>
    <t>V-0154</t>
  </si>
  <si>
    <t>V-0155</t>
  </si>
  <si>
    <t>V-0156</t>
  </si>
  <si>
    <t>V-0157</t>
  </si>
  <si>
    <t>V-0158</t>
  </si>
  <si>
    <t>V-0159</t>
  </si>
  <si>
    <t>V-0160</t>
  </si>
  <si>
    <t>V-0161</t>
  </si>
  <si>
    <t>V-0162</t>
  </si>
  <si>
    <t>V-0163</t>
  </si>
  <si>
    <t>V-0164</t>
  </si>
  <si>
    <t>V-0165</t>
  </si>
  <si>
    <t>V-0166</t>
  </si>
  <si>
    <t>V-0167</t>
  </si>
  <si>
    <t>V-0168</t>
  </si>
  <si>
    <t>V-0169</t>
  </si>
  <si>
    <t>V-0170</t>
  </si>
  <si>
    <t>V-0171</t>
  </si>
  <si>
    <t>V-0172</t>
  </si>
  <si>
    <t>V-0173</t>
  </si>
  <si>
    <t>V-0175</t>
  </si>
  <si>
    <t>V-0176</t>
  </si>
  <si>
    <t>V-0177</t>
  </si>
  <si>
    <t>V-0178</t>
  </si>
  <si>
    <t>V-0179</t>
  </si>
  <si>
    <t>V-0180</t>
  </si>
  <si>
    <t>V-0181</t>
  </si>
  <si>
    <t>V-0182</t>
  </si>
  <si>
    <t>V-0183</t>
  </si>
  <si>
    <t>V-0184</t>
  </si>
  <si>
    <t>V-0185</t>
  </si>
  <si>
    <t>V-0186</t>
  </si>
  <si>
    <t>V-0187</t>
  </si>
  <si>
    <t>V-0188</t>
  </si>
  <si>
    <t>V-0189</t>
  </si>
  <si>
    <t>V-0190</t>
  </si>
  <si>
    <t>V-0191</t>
  </si>
  <si>
    <t>V-0192</t>
  </si>
  <si>
    <t>V-0193</t>
  </si>
  <si>
    <t>V-0194</t>
  </si>
  <si>
    <t>V-0195</t>
  </si>
  <si>
    <t>V-0196</t>
  </si>
  <si>
    <t>V-0197</t>
  </si>
  <si>
    <t>V-0198</t>
  </si>
  <si>
    <t>V-0199</t>
  </si>
  <si>
    <t>V-0200</t>
  </si>
  <si>
    <t>V-0201</t>
  </si>
  <si>
    <t>V-0202</t>
  </si>
  <si>
    <t>V-0203</t>
  </si>
  <si>
    <t>V-0204</t>
  </si>
  <si>
    <t>V-0206</t>
  </si>
  <si>
    <t>V-0207</t>
  </si>
  <si>
    <t>V-0208</t>
  </si>
  <si>
    <t>V-0209</t>
  </si>
  <si>
    <t>V-0210</t>
  </si>
  <si>
    <t>V-0211</t>
  </si>
  <si>
    <t>V-0214</t>
  </si>
  <si>
    <t>V-0215</t>
  </si>
  <si>
    <t>V-0216</t>
  </si>
  <si>
    <t>V-0217</t>
  </si>
  <si>
    <t>V-0218</t>
  </si>
  <si>
    <t>V-0219</t>
  </si>
  <si>
    <t>V-0220</t>
  </si>
  <si>
    <t>V-0222</t>
  </si>
  <si>
    <t>V-0223</t>
  </si>
  <si>
    <t>V-0224</t>
  </si>
  <si>
    <t>V-0225</t>
  </si>
  <si>
    <t>V-0226</t>
  </si>
  <si>
    <t>V-0227</t>
  </si>
  <si>
    <t>V-0228</t>
  </si>
  <si>
    <t>V-0229</t>
  </si>
  <si>
    <t>V-0230</t>
  </si>
  <si>
    <t>V-0231</t>
  </si>
  <si>
    <t>V-0234</t>
  </si>
  <si>
    <t>V-0235</t>
  </si>
  <si>
    <t>V-0236</t>
  </si>
  <si>
    <t>V-0237</t>
  </si>
  <si>
    <t>V-0238</t>
  </si>
  <si>
    <t>V-0239</t>
  </si>
  <si>
    <t>V-0240</t>
  </si>
  <si>
    <t>V-0241</t>
  </si>
  <si>
    <t>V-0242</t>
  </si>
  <si>
    <t>V-0243</t>
  </si>
  <si>
    <t>V-0244</t>
  </si>
  <si>
    <t>V-0245</t>
  </si>
  <si>
    <t>V-0246</t>
  </si>
  <si>
    <t>V-0247</t>
  </si>
  <si>
    <t>V-0248</t>
  </si>
  <si>
    <t>V-0249</t>
  </si>
  <si>
    <t>V-0250</t>
  </si>
  <si>
    <t>V-0251</t>
  </si>
  <si>
    <t>V-0252</t>
  </si>
  <si>
    <t>V-0253</t>
  </si>
  <si>
    <t>V-0254</t>
  </si>
  <si>
    <t>V-0255</t>
  </si>
  <si>
    <t>V-0256</t>
  </si>
  <si>
    <t>V-0257</t>
  </si>
  <si>
    <t>V-0258</t>
  </si>
  <si>
    <t>V-0259</t>
  </si>
  <si>
    <t>V-0260</t>
  </si>
  <si>
    <t>V-0261</t>
  </si>
  <si>
    <t>V-0262</t>
  </si>
  <si>
    <t>V-0263</t>
  </si>
  <si>
    <t>V-0264</t>
  </si>
  <si>
    <t>V-0265</t>
  </si>
  <si>
    <t>V-0266</t>
  </si>
  <si>
    <t>V-0267</t>
  </si>
  <si>
    <t>V-0268</t>
  </si>
  <si>
    <t>V-0269</t>
  </si>
  <si>
    <t>V-0270</t>
  </si>
  <si>
    <t>V-0271</t>
  </si>
  <si>
    <t>V-0272</t>
  </si>
  <si>
    <t>V-0273</t>
  </si>
  <si>
    <t>V-0274</t>
  </si>
  <si>
    <t>V-0275</t>
  </si>
  <si>
    <t>V-0276</t>
  </si>
  <si>
    <t>V-0277</t>
  </si>
  <si>
    <t>V-0278</t>
  </si>
  <si>
    <t>V-0279</t>
  </si>
  <si>
    <t>V-0280</t>
  </si>
  <si>
    <t>V-0281</t>
  </si>
  <si>
    <t>V-0282</t>
  </si>
  <si>
    <t>V-0284</t>
  </si>
  <si>
    <t>V-0285</t>
  </si>
  <si>
    <t>V-0286</t>
  </si>
  <si>
    <t>V-0287</t>
  </si>
  <si>
    <t>V-0288</t>
  </si>
  <si>
    <t>V-0289</t>
  </si>
  <si>
    <t>V-0290</t>
  </si>
  <si>
    <t>V-0291</t>
  </si>
  <si>
    <t>V-0292</t>
  </si>
  <si>
    <t>V-0293</t>
  </si>
  <si>
    <t>V-0294</t>
  </si>
  <si>
    <t>V-0295</t>
  </si>
  <si>
    <t>V-0296</t>
  </si>
  <si>
    <t>V-0297</t>
  </si>
  <si>
    <t>V-0298</t>
  </si>
  <si>
    <t>V-0299</t>
  </si>
  <si>
    <t>V-0300</t>
  </si>
  <si>
    <t>V-0301</t>
  </si>
  <si>
    <t>V-0302</t>
  </si>
  <si>
    <t>V-0303</t>
  </si>
  <si>
    <t>V-0304</t>
  </si>
  <si>
    <t>V-0305</t>
  </si>
  <si>
    <t>V-0306</t>
  </si>
  <si>
    <t>V-0307</t>
  </si>
  <si>
    <t>V-0308</t>
  </si>
  <si>
    <t>V-0309</t>
  </si>
  <si>
    <t>V-0310</t>
  </si>
  <si>
    <t>V-0311</t>
  </si>
  <si>
    <t>V-0312</t>
  </si>
  <si>
    <t>V-0313</t>
  </si>
  <si>
    <t>V-0314</t>
  </si>
  <si>
    <t>V-0315</t>
  </si>
  <si>
    <t>V-0316</t>
  </si>
  <si>
    <t>V-0317</t>
  </si>
  <si>
    <t>V-0318</t>
  </si>
  <si>
    <t>V-0319</t>
  </si>
  <si>
    <t>V-0320</t>
  </si>
  <si>
    <t>Datos devueltos para Total Ventas (primeras 1000 filas).</t>
  </si>
  <si>
    <t>Textos Dinamicos</t>
  </si>
  <si>
    <t>Margen total</t>
  </si>
  <si>
    <t>Categoría</t>
  </si>
  <si>
    <t>Crecimiento vs mes anterior</t>
  </si>
  <si>
    <t>Metas</t>
  </si>
  <si>
    <t>Meta margen</t>
  </si>
  <si>
    <t>Meta crecimiento</t>
  </si>
  <si>
    <t>Crec. Vs mes anterior</t>
  </si>
  <si>
    <t>Meta ventas</t>
  </si>
  <si>
    <t>Resumen ejecutivo de ventas y márgenes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</si>
</sst>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Continuous"/>
    </xf>
    <xf numFmtId="9" fontId="0" fillId="0" borderId="0" xfId="0" applyNumberFormat="1"/>
    <xf numFmtId="0" fontId="2" fillId="2" borderId="5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4" fillId="3" borderId="3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0" fontId="5" fillId="2" borderId="5" xfId="0" applyFont="1" applyFill="1" applyBorder="1" applyAlignment="1">
      <alignment horizontal="right"/>
    </xf>
    <xf numFmtId="9" fontId="0" fillId="4" borderId="0" xfId="0" applyNumberFormat="1" applyFill="1"/>
    <xf numFmtId="0" fontId="6" fillId="0" borderId="0" xfId="0" applyFont="1" applyAlignment="1">
      <alignment vertical="top" wrapText="1"/>
    </xf>
    <xf numFmtId="0" fontId="7" fillId="5" borderId="0" xfId="0" applyFont="1" applyFill="1"/>
    <xf numFmtId="14" fontId="0" fillId="0" borderId="0" xfId="0" applyNumberFormat="1"/>
    <xf numFmtId="0" fontId="8" fillId="0" borderId="0" xfId="0" applyFont="1"/>
    <xf numFmtId="164" fontId="0" fillId="0" borderId="0" xfId="0" applyNumberFormat="1"/>
    <xf numFmtId="0" fontId="0" fillId="0" borderId="0" xfId="0" applyAlignment="1">
      <alignment vertical="center" wrapText="1"/>
    </xf>
    <xf numFmtId="164" fontId="9" fillId="0" borderId="0" xfId="0" applyNumberFormat="1" applyFont="1" applyAlignment="1">
      <alignment vertical="center" wrapText="1"/>
    </xf>
    <xf numFmtId="164" fontId="7" fillId="5" borderId="0" xfId="0" applyNumberFormat="1" applyFont="1" applyFill="1"/>
    <xf numFmtId="0" fontId="10" fillId="0" borderId="0" xfId="0" applyFont="1"/>
  </cellXfs>
  <cellStyles count="1">
    <cellStyle name="Normal" xfId="0" builtinId="0"/>
  </cellStyles>
  <dxfs count="7">
    <dxf>
      <font>
        <color theme="3" tint="0.499984740745262"/>
      </font>
    </dxf>
    <dxf>
      <font>
        <color theme="5" tint="-0.24994659260841701"/>
      </font>
    </dxf>
    <dxf>
      <font>
        <color theme="5" tint="-0.24994659260841701"/>
      </font>
    </dxf>
    <dxf>
      <font>
        <color theme="3" tint="0.499984740745262"/>
      </font>
    </dxf>
    <dxf>
      <font>
        <color theme="3" tint="0.499984740745262"/>
      </font>
    </dxf>
    <dxf>
      <font>
        <color theme="5" tint="0.39994506668294322"/>
      </font>
    </dxf>
    <dxf>
      <numFmt numFmtId="19" formatCode="d/m/yyyy"/>
    </dxf>
  </dxfs>
  <tableStyles count="0" defaultTableStyle="TableStyleMedium2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theme" Target="theme/theme1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haredStrings" Target="sharedString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10/relationships/person" Target="persons/person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Relationship Id="rId10" Type="http://schemas.openxmlformats.org/officeDocument/2006/relationships/pivotCacheDefinition" Target="pivotCache/pivotCacheDefinition2.xml"/><Relationship Id="rId19" Type="http://schemas.openxmlformats.org/officeDocument/2006/relationships/connections" Target="connection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1.xml"/><Relationship Id="rId22" Type="http://schemas.openxmlformats.org/officeDocument/2006/relationships/sheetMetadata" Target="metadata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microsoft.com/office/2011/relationships/timelineCache" Target="timelineCaches/timelineCache1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tyles" Target="styles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[PreEntrega_ModeloBI_IrimiaMatias.xlsx]Calculos!pvt_Mes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Calculos!$G$3</c:f>
              <c:strCache>
                <c:ptCount val="1"/>
                <c:pt idx="0">
                  <c:v>Total Ventas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Calculos!$F$4:$F$13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Calculos!$G$4:$G$13</c:f>
              <c:numCache>
                <c:formatCode>0</c:formatCode>
                <c:ptCount val="9"/>
                <c:pt idx="0">
                  <c:v>1640700</c:v>
                </c:pt>
                <c:pt idx="1">
                  <c:v>2938060</c:v>
                </c:pt>
                <c:pt idx="2">
                  <c:v>2524670</c:v>
                </c:pt>
                <c:pt idx="3">
                  <c:v>1934690</c:v>
                </c:pt>
                <c:pt idx="4">
                  <c:v>2961130</c:v>
                </c:pt>
                <c:pt idx="5">
                  <c:v>2452800</c:v>
                </c:pt>
                <c:pt idx="6">
                  <c:v>1868060</c:v>
                </c:pt>
                <c:pt idx="7">
                  <c:v>1876340</c:v>
                </c:pt>
                <c:pt idx="8">
                  <c:v>2307770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DB-4B31-AC5C-9EAC2AF18FDA}"/>
            </c:ext>
          </c:extLst>
        </c:ser>
        <c:ser>
          <c:idx val="1"/>
          <c:order val="1"/>
          <c:tx>
            <c:strRef>
              <c:f>Calculos!$H$3</c:f>
              <c:strCache>
                <c:ptCount val="1"/>
                <c:pt idx="0">
                  <c:v>Margen Neto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Calculos!$F$4:$F$13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Calculos!$H$4:$H$13</c:f>
              <c:numCache>
                <c:formatCode>General</c:formatCode>
                <c:ptCount val="9"/>
                <c:pt idx="0">
                  <c:v>534250</c:v>
                </c:pt>
                <c:pt idx="1">
                  <c:v>940120</c:v>
                </c:pt>
                <c:pt idx="2">
                  <c:v>771870</c:v>
                </c:pt>
                <c:pt idx="3">
                  <c:v>634300</c:v>
                </c:pt>
                <c:pt idx="4">
                  <c:v>989290</c:v>
                </c:pt>
                <c:pt idx="5">
                  <c:v>758720</c:v>
                </c:pt>
                <c:pt idx="6">
                  <c:v>622960</c:v>
                </c:pt>
                <c:pt idx="7">
                  <c:v>686190</c:v>
                </c:pt>
                <c:pt idx="8">
                  <c:v>742180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DB-4B31-AC5C-9EAC2AF18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447840"/>
        <c:axId val="1594052368"/>
      </c:lineChart>
      <c:catAx>
        <c:axId val="199844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94052368"/>
        <c:crosses val="autoZero"/>
        <c:auto val="1"/>
        <c:lblAlgn val="ctr"/>
        <c:lblOffset val="100"/>
        <c:noMultiLvlLbl val="0"/>
      </c:catAx>
      <c:valAx>
        <c:axId val="159405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9844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waterfall" uniqueId="{00000000-277C-4993-A052-2DD7263ADEB8}">
          <cx:tx>
            <cx:txData>
              <cx:f>_xlchart.v1.1</cx:f>
              <cx:v>Margen Neto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4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175260</xdr:colOff>
      <xdr:row>1</xdr:row>
      <xdr:rowOff>228600</xdr:rowOff>
    </xdr:from>
    <xdr:to>
      <xdr:col>14</xdr:col>
      <xdr:colOff>190500</xdr:colOff>
      <xdr:row>12</xdr:row>
      <xdr:rowOff>226695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ia">
              <a:extLst>
                <a:ext uri="{FF2B5EF4-FFF2-40B4-BE49-F238E27FC236}">
                  <a16:creationId xmlns:a16="http://schemas.microsoft.com/office/drawing/2014/main" id="{6F077A4F-5CC4-4BDE-B70F-DEC8B504E7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05400" y="45720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182880</xdr:colOff>
      <xdr:row>1</xdr:row>
      <xdr:rowOff>228600</xdr:rowOff>
    </xdr:from>
    <xdr:to>
      <xdr:col>23</xdr:col>
      <xdr:colOff>198120</xdr:colOff>
      <xdr:row>12</xdr:row>
      <xdr:rowOff>226695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gmento">
              <a:extLst>
                <a:ext uri="{FF2B5EF4-FFF2-40B4-BE49-F238E27FC236}">
                  <a16:creationId xmlns:a16="http://schemas.microsoft.com/office/drawing/2014/main" id="{A772C6C2-C3F6-42F9-A218-8ED16EE34F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44740" y="45720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22860</xdr:colOff>
      <xdr:row>1</xdr:row>
      <xdr:rowOff>259080</xdr:rowOff>
    </xdr:from>
    <xdr:to>
      <xdr:col>39</xdr:col>
      <xdr:colOff>205740</xdr:colOff>
      <xdr:row>10</xdr:row>
      <xdr:rowOff>15240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Fecha">
              <a:extLst>
                <a:ext uri="{FF2B5EF4-FFF2-40B4-BE49-F238E27FC236}">
                  <a16:creationId xmlns:a16="http://schemas.microsoft.com/office/drawing/2014/main" id="{A818DE80-7D7D-4F60-BBAC-75E92A6256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16440" y="487680"/>
              <a:ext cx="3810000" cy="1882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0</xdr:col>
      <xdr:colOff>106680</xdr:colOff>
      <xdr:row>6</xdr:row>
      <xdr:rowOff>91440</xdr:rowOff>
    </xdr:from>
    <xdr:to>
      <xdr:col>7</xdr:col>
      <xdr:colOff>38100</xdr:colOff>
      <xdr:row>17</xdr:row>
      <xdr:rowOff>160020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8951635-0FA7-4F23-8309-D5BB193E8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13</xdr:row>
      <xdr:rowOff>60960</xdr:rowOff>
    </xdr:from>
    <xdr:to>
      <xdr:col>28</xdr:col>
      <xdr:colOff>205740</xdr:colOff>
      <xdr:row>25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C7909F15-36F4-4840-A1F4-B3365D35BA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04560" y="31318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31</xdr:col>
      <xdr:colOff>205740</xdr:colOff>
      <xdr:row>12</xdr:row>
      <xdr:rowOff>213360</xdr:rowOff>
    </xdr:from>
    <xdr:to>
      <xdr:col>42</xdr:col>
      <xdr:colOff>22860</xdr:colOff>
      <xdr:row>21</xdr:row>
      <xdr:rowOff>121920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908C949-6C7B-BF52-0962-385A40170B54}"/>
            </a:ext>
          </a:extLst>
        </xdr:cNvPr>
        <xdr:cNvSpPr txBox="1"/>
      </xdr:nvSpPr>
      <xdr:spPr>
        <a:xfrm>
          <a:off x="11353800" y="3025140"/>
          <a:ext cx="2667000" cy="1965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>
              <a:latin typeface="Arial" panose="020B0604020202020204" pitchFamily="34" charset="0"/>
              <a:cs typeface="Arial" panose="020B0604020202020204" pitchFamily="34" charset="0"/>
            </a:rPr>
            <a:t>Notas de análisis</a:t>
          </a:r>
        </a:p>
        <a:p>
          <a:r>
            <a:rPr lang="es-AR" sz="1100">
              <a:latin typeface="Arial" panose="020B0604020202020204" pitchFamily="34" charset="0"/>
              <a:cs typeface="Arial" panose="020B0604020202020204" pitchFamily="34" charset="0"/>
            </a:rPr>
            <a:t>1. Las ventas suman $20,5 M con un margen del 32,6 %, por encima de la meta del 30 %.</a:t>
          </a:r>
        </a:p>
        <a:p>
          <a:r>
            <a:rPr lang="es-AR" sz="1100">
              <a:latin typeface="Arial" panose="020B0604020202020204" pitchFamily="34" charset="0"/>
              <a:cs typeface="Arial" panose="020B0604020202020204" pitchFamily="34" charset="0"/>
            </a:rPr>
            <a:t>2. Lácteos aporta el mayor margen en valor ($2,07 M), pero tiene el menor margen porcentual (27 %); Bebidas y Limpieza rondan el 38 %.</a:t>
          </a:r>
        </a:p>
        <a:p>
          <a:r>
            <a:rPr lang="es-AR" sz="1100">
              <a:latin typeface="Arial" panose="020B0604020202020204" pitchFamily="34" charset="0"/>
              <a:cs typeface="Arial" panose="020B0604020202020204" pitchFamily="34" charset="0"/>
            </a:rPr>
            <a:t>3. </a:t>
          </a:r>
          <a:r>
            <a:rPr lang="es-AR">
              <a:latin typeface="Arial" panose="020B0604020202020204" pitchFamily="34" charset="0"/>
              <a:cs typeface="Arial" panose="020B0604020202020204" pitchFamily="34" charset="0"/>
            </a:rPr>
            <a:t>Las ventas cayeron en julio y agosto y subieron 23 % en septiembre, pero fue un crecimiento nominal: las unidades vendidas bajaron 4 %.</a:t>
          </a:r>
          <a:endParaRPr lang="es-AR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60960</xdr:colOff>
      <xdr:row>20</xdr:row>
      <xdr:rowOff>68580</xdr:rowOff>
    </xdr:from>
    <xdr:to>
      <xdr:col>5</xdr:col>
      <xdr:colOff>144780</xdr:colOff>
      <xdr:row>24</xdr:row>
      <xdr:rowOff>182880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60485A7D-9807-8DA8-47DA-60E710C27EDA}"/>
            </a:ext>
          </a:extLst>
        </xdr:cNvPr>
        <xdr:cNvSpPr txBox="1"/>
      </xdr:nvSpPr>
      <xdr:spPr>
        <a:xfrm>
          <a:off x="320040" y="4709160"/>
          <a:ext cx="4236720" cy="1028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más importante es 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separar crecimiento nominal de crecimiento real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el +23 % de septiembre podría explicarse principalmente por aumentos de precios, inflación o cambios de mix, y no por vender más volumen.</a:t>
          </a:r>
          <a:endParaRPr lang="es-AR" sz="1100"/>
        </a:p>
      </xdr:txBody>
    </xdr:sp>
    <xdr:clientData/>
  </xdr:twoCellAnchor>
  <xdr:twoCellAnchor>
    <xdr:from>
      <xdr:col>32</xdr:col>
      <xdr:colOff>76200</xdr:colOff>
      <xdr:row>23</xdr:row>
      <xdr:rowOff>45720</xdr:rowOff>
    </xdr:from>
    <xdr:to>
      <xdr:col>42</xdr:col>
      <xdr:colOff>7620</xdr:colOff>
      <xdr:row>31</xdr:row>
      <xdr:rowOff>15240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52A82E6B-5076-A3E5-FCAD-EFA2B64DF080}"/>
            </a:ext>
          </a:extLst>
        </xdr:cNvPr>
        <xdr:cNvSpPr txBox="1"/>
      </xdr:nvSpPr>
      <xdr:spPr>
        <a:xfrm>
          <a:off x="11483340" y="5372100"/>
          <a:ext cx="2522220" cy="17983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   Nota (validación con IA): los datos cubren solo ene-sep 2026, así que no se puede descartar un efecto estacional; el margen no incluye costos logísticos.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0.41333</cdr:x>
      <cdr:y>0.03889</cdr:y>
    </cdr:from>
    <cdr:to>
      <cdr:x>0.81</cdr:x>
      <cdr:y>0.16667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E64DCC43-AC0A-ABD0-875F-4CFBBE650413}"/>
            </a:ext>
          </a:extLst>
        </cdr:cNvPr>
        <cdr:cNvSpPr txBox="1"/>
      </cdr:nvSpPr>
      <cdr:spPr>
        <a:xfrm xmlns:a="http://schemas.openxmlformats.org/drawingml/2006/main">
          <a:off x="1889760" y="106680"/>
          <a:ext cx="1813560" cy="3505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s-AR" sz="1100" kern="12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lvana ojeda" refreshedDate="46296.799986342594" backgroundQuery="1" createdVersion="8" refreshedVersion="8" minRefreshableVersion="3" recordCount="0" supportSubquery="1" supportAdvancedDrill="1" xr:uid="{B29BC772-3B31-4989-A9A7-00D7372D48D9}">
  <cacheSource type="external" connectionId="7"/>
  <cacheFields count="5">
    <cacheField name="[Calendario].[Mes].[Mes]" caption="Mes" numFmtId="0" hierarchy="3" level="1">
      <sharedItems count="9">
        <s v="Enero"/>
        <s v="Febrero"/>
        <s v="Marzo"/>
        <s v="Abril"/>
        <s v="Mayo"/>
        <s v="Junio"/>
        <s v="Julio"/>
        <s v="Agosto"/>
        <s v="Septiembre"/>
      </sharedItems>
    </cacheField>
    <cacheField name="[Measures].[Total Ventas]" caption="Total Ventas" numFmtId="0" hierarchy="19" level="32767"/>
    <cacheField name="[Measures].[Margen Neto]" caption="Margen Neto" numFmtId="0" hierarchy="20" level="32767"/>
    <cacheField name="[productos].[Categoria].[Categoria]" caption="Categoria" numFmtId="0" hierarchy="10" level="1">
      <sharedItems containsSemiMixedTypes="0" containsNonDate="0" containsString="0"/>
    </cacheField>
    <cacheField name="[clientes].[Segmento].[Segmento]" caption="Segmento" numFmtId="0" hierarchy="7" level="1">
      <sharedItems containsSemiMixedTypes="0" containsNonDate="0" containsString="0"/>
    </cacheField>
  </cacheFields>
  <cacheHierarchies count="28">
    <cacheHierarchy uniqueName="[Calendario].[Fecha]" caption="Fecha" attribute="1" time="1" keyAttribute="1" defaultMemberUniqueName="[Calendario].[Fecha].[All]" allUniqueName="[Calendario].[Fecha].[All]" dimensionUniqueName="[Calendario]" displayFolder="" count="2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/>
    <cacheHierarchy uniqueName="[Calendario].[Mes_Num]" caption="Mes_Num" attribute="1" time="1" defaultMemberUniqueName="[Calendario].[Mes_Num].[All]" allUniqueName="[Calendario].[Mes_Num].[All]" dimensionUniqueName="[Calendario]" displayFolder="" count="2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0"/>
      </fieldsUsage>
    </cacheHierarchy>
    <cacheHierarchy uniqueName="[clientes].[ID_Cliente]" caption="ID_Cliente" attribute="1" defaultMemberUniqueName="[clientes].[ID_Cliente].[All]" allUniqueName="[clientes].[ID_Cliente].[All]" dimensionUniqueName="[clientes]" displayFolder="" count="2" memberValueDatatype="130" unbalanced="0"/>
    <cacheHierarchy uniqueName="[clientes].[Nombre_Cliente]" caption="Nombre_Cliente" attribute="1" defaultMemberUniqueName="[clientes].[Nombre_Cliente].[All]" allUniqueName="[clientes].[Nombre_Cliente].[All]" dimensionUniqueName="[clientes]" displayFolder="" count="2" memberValueDatatype="130" unbalanced="0"/>
    <cacheHierarchy uniqueName="[clientes].[Ciudad]" caption="Ciudad" attribute="1" defaultMemberUniqueName="[clientes].[Ciudad].[All]" allUniqueName="[clientes].[Ciudad].[All]" dimensionUniqueName="[clientes]" displayFolder="" count="2" memberValueDatatype="130" unbalanced="0"/>
    <cacheHierarchy uniqueName="[clientes].[Segmento]" caption="Segmento" attribute="1" defaultMemberUniqueName="[clientes].[Segmento].[All]" allUniqueName="[clientes].[Segmento].[All]" dimensionUniqueName="[clientes]" displayFolder="" count="2" memberValueDatatype="130" unbalanced="0">
      <fieldsUsage count="2">
        <fieldUsage x="-1"/>
        <fieldUsage x="4"/>
      </fieldsUsage>
    </cacheHierarchy>
    <cacheHierarchy uniqueName="[productos].[ID_Producto]" caption="ID_Producto" attribute="1" defaultMemberUniqueName="[productos].[ID_Producto].[All]" allUniqueName="[productos].[ID_Producto].[All]" dimensionUniqueName="[productos]" displayFolder="" count="2" memberValueDatatype="130" unbalanced="0"/>
    <cacheHierarchy uniqueName="[productos].[Producto]" caption="Producto" attribute="1" defaultMemberUniqueName="[productos].[Producto].[All]" allUniqueName="[productos].[Producto].[All]" dimensionUniqueName="[productos]" displayFolder="" count="2" memberValueDatatype="130" unbalanced="0"/>
    <cacheHierarchy uniqueName="[productos].[Categoria]" caption="Categoria" attribute="1" defaultMemberUniqueName="[productos].[Categoria].[All]" allUniqueName="[productos].[Categoria].[All]" dimensionUniqueName="[productos]" displayFolder="" count="2" memberValueDatatype="130" unbalanced="0">
      <fieldsUsage count="2">
        <fieldUsage x="-1"/>
        <fieldUsage x="3"/>
      </fieldsUsage>
    </cacheHierarchy>
    <cacheHierarchy uniqueName="[ventas].[ID_Venta]" caption="ID_Venta" attribute="1" defaultMemberUniqueName="[ventas].[ID_Venta].[All]" allUniqueName="[ventas].[ID_Venta].[All]" dimensionUniqueName="[ventas]" displayFolder="" count="2" memberValueDatatype="130" unbalanced="0"/>
    <cacheHierarchy uniqueName="[ventas].[Fecha]" caption="Fecha" attribute="1" time="1" defaultMemberUniqueName="[ventas].[Fecha].[All]" allUniqueName="[ventas].[Fecha].[All]" dimensionUniqueName="[ventas]" displayFolder="" count="2" memberValueDatatype="7" unbalanced="0"/>
    <cacheHierarchy uniqueName="[ventas].[ID_Cliente]" caption="ID_Cliente" attribute="1" defaultMemberUniqueName="[ventas].[ID_Cliente].[All]" allUniqueName="[ventas].[ID_Cliente].[All]" dimensionUniqueName="[ventas]" displayFolder="" count="2" memberValueDatatype="130" unbalanced="0"/>
    <cacheHierarchy uniqueName="[ventas].[ID_Producto]" caption="ID_Producto" attribute="1" defaultMemberUniqueName="[ventas].[ID_Producto].[All]" allUniqueName="[ventas].[ID_Producto].[All]" dimensionUniqueName="[ventas]" displayFolder="" count="2" memberValueDatatype="130" unbalanced="0"/>
    <cacheHierarchy uniqueName="[ventas].[Cantidad]" caption="Cantidad" attribute="1" defaultMemberUniqueName="[ventas].[Cantidad].[All]" allUniqueName="[ventas].[Cantidad].[All]" dimensionUniqueName="[ventas]" displayFolder="" count="2" memberValueDatatype="20" unbalanced="0"/>
    <cacheHierarchy uniqueName="[ventas].[Precio_Unitario]" caption="Precio_Unitario" attribute="1" defaultMemberUniqueName="[ventas].[Precio_Unitario].[All]" allUniqueName="[ventas].[Precio_Unitario].[All]" dimensionUniqueName="[ventas]" displayFolder="" count="2" memberValueDatatype="20" unbalanced="0"/>
    <cacheHierarchy uniqueName="[ventas].[Costo_Unitario]" caption="Costo_Unitario" attribute="1" defaultMemberUniqueName="[ventas].[Costo_Unitario].[All]" allUniqueName="[ventas].[Costo_Unitario].[All]" dimensionUniqueName="[ventas]" displayFolder="" count="2" memberValueDatatype="20" unbalanced="0"/>
    <cacheHierarchy uniqueName="[ventas].[Importe]" caption="Importe" attribute="1" defaultMemberUniqueName="[ventas].[Importe].[All]" allUniqueName="[ventas].[Importe].[All]" dimensionUniqueName="[ventas]" displayFolder="" count="2" memberValueDatatype="20" unbalanced="0"/>
    <cacheHierarchy uniqueName="[Measures].[Total Ventas]" caption="Total Ventas" measure="1" displayFolder="" measureGroup="ventas" count="0" oneField="1">
      <fieldsUsage count="1">
        <fieldUsage x="1"/>
      </fieldsUsage>
    </cacheHierarchy>
    <cacheHierarchy uniqueName="[Measures].[Margen Neto]" caption="Margen Neto" measure="1" displayFolder="" measureGroup="ventas" count="0" oneField="1">
      <fieldsUsage count="1">
        <fieldUsage x="2"/>
      </fieldsUsage>
    </cacheHierarchy>
    <cacheHierarchy uniqueName="[Measures].[% Margen]" caption="% Margen" measure="1" displayFolder="" measureGroup="ventas" count="0"/>
    <cacheHierarchy uniqueName="[Measures].[Costo Total]" caption="Costo Total" measure="1" displayFolder="" measureGroup="ventas" count="0"/>
    <cacheHierarchy uniqueName="[Measures].[__XL_Count ventas]" caption="__XL_Count ventas" measure="1" displayFolder="" measureGroup="ventas" count="0" hidden="1"/>
    <cacheHierarchy uniqueName="[Measures].[__XL_Count productos]" caption="__XL_Count productos" measure="1" displayFolder="" measureGroup="productos" count="0" hidden="1"/>
    <cacheHierarchy uniqueName="[Measures].[__XL_Count clientes]" caption="__XL_Count clientes" measure="1" displayFolder="" measureGroup="cliente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</cacheHierarchies>
  <kpis count="0"/>
  <dimensions count="5">
    <dimension name="Calendario" uniqueName="[Calendario]" caption="Calendario"/>
    <dimension name="clientes" uniqueName="[clientes]" caption="clientes"/>
    <dimension measure="1" name="Measures" uniqueName="[Measures]" caption="Measures"/>
    <dimension name="productos" uniqueName="[productos]" caption="productos"/>
    <dimension name="ventas" uniqueName="[ventas]" caption="ventas"/>
  </dimensions>
  <measureGroups count="4">
    <measureGroup name="Calendario" caption="Calendario"/>
    <measureGroup name="clientes" caption="clientes"/>
    <measureGroup name="productos" caption="productos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lvana ojeda" refreshedDate="46296.799986921294" backgroundQuery="1" createdVersion="8" refreshedVersion="8" minRefreshableVersion="3" recordCount="0" supportSubquery="1" supportAdvancedDrill="1" xr:uid="{E19C20AF-E4ED-451E-A2E1-8AE94022AAC0}">
  <cacheSource type="external" connectionId="7"/>
  <cacheFields count="5">
    <cacheField name="[Measures].[Total Ventas]" caption="Total Ventas" numFmtId="0" hierarchy="19" level="32767"/>
    <cacheField name="[Measures].[Margen Neto]" caption="Margen Neto" numFmtId="0" hierarchy="20" level="32767"/>
    <cacheField name="[Measures].[% Margen]" caption="% Margen" numFmtId="0" hierarchy="21" level="32767"/>
    <cacheField name="[productos].[Categoria].[Categoria]" caption="Categoria" numFmtId="0" hierarchy="10" level="1">
      <sharedItems containsSemiMixedTypes="0" containsNonDate="0" containsString="0"/>
    </cacheField>
    <cacheField name="[clientes].[Segmento].[Segmento]" caption="Segmento" numFmtId="0" hierarchy="7" level="1">
      <sharedItems containsSemiMixedTypes="0" containsNonDate="0" containsString="0"/>
    </cacheField>
  </cacheFields>
  <cacheHierarchies count="28">
    <cacheHierarchy uniqueName="[Calendario].[Fecha]" caption="Fecha" attribute="1" time="1" keyAttribute="1" defaultMemberUniqueName="[Calendario].[Fecha].[All]" allUniqueName="[Calendario].[Fecha].[All]" dimensionUniqueName="[Calendario]" displayFolder="" count="2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es_Num]" caption="Mes_Num" attribute="1" time="1" defaultMemberUniqueName="[Calendario].[Mes_Num].[All]" allUniqueName="[Calendario].[Mes_Num].[All]" dimensionUniqueName="[Calendario]" displayFolder="" count="0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lientes].[ID_Cliente]" caption="ID_Cliente" attribute="1" defaultMemberUniqueName="[clientes].[ID_Cliente].[All]" allUniqueName="[clientes].[ID_Cliente].[All]" dimensionUniqueName="[clientes]" displayFolder="" count="0" memberValueDatatype="130" unbalanced="0"/>
    <cacheHierarchy uniqueName="[clientes].[Nombre_Cliente]" caption="Nombre_Cliente" attribute="1" defaultMemberUniqueName="[clientes].[Nombre_Cliente].[All]" allUniqueName="[clientes].[Nombre_Cliente].[All]" dimensionUniqueName="[clientes]" displayFolder="" count="0" memberValueDatatype="130" unbalanced="0"/>
    <cacheHierarchy uniqueName="[clientes].[Ciudad]" caption="Ciudad" attribute="1" defaultMemberUniqueName="[clientes].[Ciudad].[All]" allUniqueName="[clientes].[Ciudad].[All]" dimensionUniqueName="[clientes]" displayFolder="" count="0" memberValueDatatype="130" unbalanced="0"/>
    <cacheHierarchy uniqueName="[clientes].[Segmento]" caption="Segmento" attribute="1" defaultMemberUniqueName="[clientes].[Segmento].[All]" allUniqueName="[clientes].[Segmento].[All]" dimensionUniqueName="[clientes]" displayFolder="" count="2" memberValueDatatype="130" unbalanced="0">
      <fieldsUsage count="2">
        <fieldUsage x="-1"/>
        <fieldUsage x="4"/>
      </fieldsUsage>
    </cacheHierarchy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130" unbalanced="0"/>
    <cacheHierarchy uniqueName="[productos].[Producto]" caption="Producto" attribute="1" defaultMemberUniqueName="[productos].[Producto].[All]" allUniqueName="[productos].[Producto].[All]" dimensionUniqueName="[productos]" displayFolder="" count="0" memberValueDatatype="130" unbalanced="0"/>
    <cacheHierarchy uniqueName="[productos].[Categoria]" caption="Categoria" attribute="1" defaultMemberUniqueName="[productos].[Categoria].[All]" allUniqueName="[productos].[Categoria].[All]" dimensionUniqueName="[productos]" displayFolder="" count="2" memberValueDatatype="130" unbalanced="0">
      <fieldsUsage count="2">
        <fieldUsage x="-1"/>
        <fieldUsage x="3"/>
      </fieldsUsage>
    </cacheHierarchy>
    <cacheHierarchy uniqueName="[ventas].[ID_Venta]" caption="ID_Venta" attribute="1" defaultMemberUniqueName="[ventas].[ID_Venta].[All]" allUniqueName="[ventas].[ID_Venta].[All]" dimensionUniqueName="[ventas]" displayFolder="" count="0" memberValueDatatype="130" unbalanced="0"/>
    <cacheHierarchy uniqueName="[ventas].[Fecha]" caption="Fecha" attribute="1" time="1" defaultMemberUniqueName="[ventas].[Fecha].[All]" allUniqueName="[ventas].[Fecha].[All]" dimensionUniqueName="[ventas]" displayFolder="" count="0" memberValueDatatype="7" unbalanced="0"/>
    <cacheHierarchy uniqueName="[ventas].[ID_Cliente]" caption="ID_Cliente" attribute="1" defaultMemberUniqueName="[ventas].[ID_Cliente].[All]" allUniqueName="[ventas].[ID_Cliente].[All]" dimensionUniqueName="[ventas]" displayFolder="" count="0" memberValueDatatype="130" unbalanced="0"/>
    <cacheHierarchy uniqueName="[ventas].[ID_Producto]" caption="ID_Producto" attribute="1" defaultMemberUniqueName="[ventas].[ID_Producto].[All]" allUniqueName="[ventas].[ID_Producto].[All]" dimensionUniqueName="[ventas]" displayFolder="" count="0" memberValueDatatype="130" unbalanced="0"/>
    <cacheHierarchy uniqueName="[ventas].[Cantidad]" caption="Cantidad" attribute="1" defaultMemberUniqueName="[ventas].[Cantidad].[All]" allUniqueName="[ventas].[Cantidad].[All]" dimensionUniqueName="[ventas]" displayFolder="" count="0" memberValueDatatype="20" unbalanced="0"/>
    <cacheHierarchy uniqueName="[ventas].[Precio_Unitario]" caption="Precio_Unitario" attribute="1" defaultMemberUniqueName="[ventas].[Precio_Unitario].[All]" allUniqueName="[ventas].[Precio_Unitario].[All]" dimensionUniqueName="[ventas]" displayFolder="" count="0" memberValueDatatype="20" unbalanced="0"/>
    <cacheHierarchy uniqueName="[ventas].[Costo_Unitario]" caption="Costo_Unitario" attribute="1" defaultMemberUniqueName="[ventas].[Costo_Unitario].[All]" allUniqueName="[ventas].[Costo_Unitario].[All]" dimensionUniqueName="[ventas]" displayFolder="" count="0" memberValueDatatype="20" unbalanced="0"/>
    <cacheHierarchy uniqueName="[ventas].[Importe]" caption="Importe" attribute="1" defaultMemberUniqueName="[ventas].[Importe].[All]" allUniqueName="[ventas].[Importe].[All]" dimensionUniqueName="[ventas]" displayFolder="" count="0" memberValueDatatype="20" unbalanced="0"/>
    <cacheHierarchy uniqueName="[Measures].[Total Ventas]" caption="Total Ventas" measure="1" displayFolder="" measureGroup="ventas" count="0" oneField="1">
      <fieldsUsage count="1">
        <fieldUsage x="0"/>
      </fieldsUsage>
    </cacheHierarchy>
    <cacheHierarchy uniqueName="[Measures].[Margen Neto]" caption="Margen Neto" measure="1" displayFolder="" measureGroup="ventas" count="0" oneField="1">
      <fieldsUsage count="1">
        <fieldUsage x="1"/>
      </fieldsUsage>
    </cacheHierarchy>
    <cacheHierarchy uniqueName="[Measures].[% Margen]" caption="% Margen" measure="1" displayFolder="" measureGroup="ventas" count="0" oneField="1">
      <fieldsUsage count="1">
        <fieldUsage x="2"/>
      </fieldsUsage>
    </cacheHierarchy>
    <cacheHierarchy uniqueName="[Measures].[Costo Total]" caption="Costo Total" measure="1" displayFolder="" measureGroup="ventas" count="0"/>
    <cacheHierarchy uniqueName="[Measures].[__XL_Count ventas]" caption="__XL_Count ventas" measure="1" displayFolder="" measureGroup="ventas" count="0" hidden="1"/>
    <cacheHierarchy uniqueName="[Measures].[__XL_Count productos]" caption="__XL_Count productos" measure="1" displayFolder="" measureGroup="productos" count="0" hidden="1"/>
    <cacheHierarchy uniqueName="[Measures].[__XL_Count clientes]" caption="__XL_Count clientes" measure="1" displayFolder="" measureGroup="cliente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</cacheHierarchies>
  <kpis count="0"/>
  <dimensions count="5">
    <dimension name="Calendario" uniqueName="[Calendario]" caption="Calendario"/>
    <dimension name="clientes" uniqueName="[clientes]" caption="clientes"/>
    <dimension measure="1" name="Measures" uniqueName="[Measures]" caption="Measures"/>
    <dimension name="productos" uniqueName="[productos]" caption="productos"/>
    <dimension name="ventas" uniqueName="[ventas]" caption="ventas"/>
  </dimensions>
  <measureGroups count="4">
    <measureGroup name="Calendario" caption="Calendario"/>
    <measureGroup name="clientes" caption="clientes"/>
    <measureGroup name="productos" caption="productos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lvana ojeda" refreshedDate="46296.79998541667" backgroundQuery="1" createdVersion="8" refreshedVersion="8" minRefreshableVersion="3" recordCount="0" supportSubquery="1" supportAdvancedDrill="1" xr:uid="{DBDE9445-9074-4369-A9B8-CEA538E321C3}">
  <cacheSource type="external" connectionId="7"/>
  <cacheFields count="5">
    <cacheField name="[Calendario].[Mes].[Mes]" caption="Mes" numFmtId="0" hierarchy="3" level="1">
      <sharedItems count="9">
        <s v="Enero"/>
        <s v="Febrero"/>
        <s v="Marzo"/>
        <s v="Abril"/>
        <s v="Mayo"/>
        <s v="Junio"/>
        <s v="Julio"/>
        <s v="Agosto"/>
        <s v="Septiembre"/>
      </sharedItems>
    </cacheField>
    <cacheField name="[Measures].[Total Ventas]" caption="Total Ventas" numFmtId="0" hierarchy="19" level="32767"/>
    <cacheField name="[Measures].[Margen Neto]" caption="Margen Neto" numFmtId="0" hierarchy="20" level="32767"/>
    <cacheField name="[productos].[Categoria].[Categoria]" caption="Categoria" numFmtId="0" hierarchy="10" level="1">
      <sharedItems containsSemiMixedTypes="0" containsNonDate="0" containsString="0"/>
    </cacheField>
    <cacheField name="[clientes].[Segmento].[Segmento]" caption="Segmento" numFmtId="0" hierarchy="7" level="1">
      <sharedItems containsSemiMixedTypes="0" containsNonDate="0" containsString="0"/>
    </cacheField>
  </cacheFields>
  <cacheHierarchies count="28">
    <cacheHierarchy uniqueName="[Calendario].[Fecha]" caption="Fecha" attribute="1" time="1" keyAttribut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es_Num]" caption="Mes_Num" attribute="1" time="1" defaultMemberUniqueName="[Calendario].[Mes_Num].[All]" allUniqueName="[Calendario].[Mes_Num].[All]" dimensionUniqueName="[Calendario]" displayFolder="" count="0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>
      <fieldsUsage count="2">
        <fieldUsage x="-1"/>
        <fieldUsage x="0"/>
      </fieldsUsage>
    </cacheHierarchy>
    <cacheHierarchy uniqueName="[clientes].[ID_Cliente]" caption="ID_Cliente" attribute="1" defaultMemberUniqueName="[clientes].[ID_Cliente].[All]" allUniqueName="[clientes].[ID_Cliente].[All]" dimensionUniqueName="[clientes]" displayFolder="" count="0" memberValueDatatype="130" unbalanced="0"/>
    <cacheHierarchy uniqueName="[clientes].[Nombre_Cliente]" caption="Nombre_Cliente" attribute="1" defaultMemberUniqueName="[clientes].[Nombre_Cliente].[All]" allUniqueName="[clientes].[Nombre_Cliente].[All]" dimensionUniqueName="[clientes]" displayFolder="" count="0" memberValueDatatype="130" unbalanced="0"/>
    <cacheHierarchy uniqueName="[clientes].[Ciudad]" caption="Ciudad" attribute="1" defaultMemberUniqueName="[clientes].[Ciudad].[All]" allUniqueName="[clientes].[Ciudad].[All]" dimensionUniqueName="[clientes]" displayFolder="" count="0" memberValueDatatype="130" unbalanced="0"/>
    <cacheHierarchy uniqueName="[clientes].[Segmento]" caption="Segmento" attribute="1" defaultMemberUniqueName="[clientes].[Segmento].[All]" allUniqueName="[clientes].[Segmento].[All]" dimensionUniqueName="[clientes]" displayFolder="" count="2" memberValueDatatype="130" unbalanced="0">
      <fieldsUsage count="2">
        <fieldUsage x="-1"/>
        <fieldUsage x="4"/>
      </fieldsUsage>
    </cacheHierarchy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130" unbalanced="0"/>
    <cacheHierarchy uniqueName="[productos].[Producto]" caption="Producto" attribute="1" defaultMemberUniqueName="[productos].[Producto].[All]" allUniqueName="[productos].[Producto].[All]" dimensionUniqueName="[productos]" displayFolder="" count="0" memberValueDatatype="130" unbalanced="0"/>
    <cacheHierarchy uniqueName="[productos].[Categoria]" caption="Categoria" attribute="1" defaultMemberUniqueName="[productos].[Categoria].[All]" allUniqueName="[productos].[Categoria].[All]" dimensionUniqueName="[productos]" displayFolder="" count="2" memberValueDatatype="130" unbalanced="0">
      <fieldsUsage count="2">
        <fieldUsage x="-1"/>
        <fieldUsage x="3"/>
      </fieldsUsage>
    </cacheHierarchy>
    <cacheHierarchy uniqueName="[ventas].[ID_Venta]" caption="ID_Venta" attribute="1" defaultMemberUniqueName="[ventas].[ID_Venta].[All]" allUniqueName="[ventas].[ID_Venta].[All]" dimensionUniqueName="[ventas]" displayFolder="" count="0" memberValueDatatype="130" unbalanced="0"/>
    <cacheHierarchy uniqueName="[ventas].[Fecha]" caption="Fecha" attribute="1" time="1" defaultMemberUniqueName="[ventas].[Fecha].[All]" allUniqueName="[ventas].[Fecha].[All]" dimensionUniqueName="[ventas]" displayFolder="" count="0" memberValueDatatype="7" unbalanced="0"/>
    <cacheHierarchy uniqueName="[ventas].[ID_Cliente]" caption="ID_Cliente" attribute="1" defaultMemberUniqueName="[ventas].[ID_Cliente].[All]" allUniqueName="[ventas].[ID_Cliente].[All]" dimensionUniqueName="[ventas]" displayFolder="" count="0" memberValueDatatype="130" unbalanced="0"/>
    <cacheHierarchy uniqueName="[ventas].[ID_Producto]" caption="ID_Producto" attribute="1" defaultMemberUniqueName="[ventas].[ID_Producto].[All]" allUniqueName="[ventas].[ID_Producto].[All]" dimensionUniqueName="[ventas]" displayFolder="" count="0" memberValueDatatype="130" unbalanced="0"/>
    <cacheHierarchy uniqueName="[ventas].[Cantidad]" caption="Cantidad" attribute="1" defaultMemberUniqueName="[ventas].[Cantidad].[All]" allUniqueName="[ventas].[Cantidad].[All]" dimensionUniqueName="[ventas]" displayFolder="" count="0" memberValueDatatype="20" unbalanced="0"/>
    <cacheHierarchy uniqueName="[ventas].[Precio_Unitario]" caption="Precio_Unitario" attribute="1" defaultMemberUniqueName="[ventas].[Precio_Unitario].[All]" allUniqueName="[ventas].[Precio_Unitario].[All]" dimensionUniqueName="[ventas]" displayFolder="" count="0" memberValueDatatype="20" unbalanced="0"/>
    <cacheHierarchy uniqueName="[ventas].[Costo_Unitario]" caption="Costo_Unitario" attribute="1" defaultMemberUniqueName="[ventas].[Costo_Unitario].[All]" allUniqueName="[ventas].[Costo_Unitario].[All]" dimensionUniqueName="[ventas]" displayFolder="" count="0" memberValueDatatype="20" unbalanced="0"/>
    <cacheHierarchy uniqueName="[ventas].[Importe]" caption="Importe" attribute="1" defaultMemberUniqueName="[ventas].[Importe].[All]" allUniqueName="[ventas].[Importe].[All]" dimensionUniqueName="[ventas]" displayFolder="" count="0" memberValueDatatype="20" unbalanced="0"/>
    <cacheHierarchy uniqueName="[Measures].[Total Ventas]" caption="Total Ventas" measure="1" displayFolder="" measureGroup="ventas" count="0" oneField="1">
      <fieldsUsage count="1">
        <fieldUsage x="1"/>
      </fieldsUsage>
    </cacheHierarchy>
    <cacheHierarchy uniqueName="[Measures].[Margen Neto]" caption="Margen Neto" measure="1" displayFolder="" measureGroup="ventas" count="0" oneField="1">
      <fieldsUsage count="1">
        <fieldUsage x="2"/>
      </fieldsUsage>
    </cacheHierarchy>
    <cacheHierarchy uniqueName="[Measures].[% Margen]" caption="% Margen" measure="1" displayFolder="" measureGroup="ventas" count="0"/>
    <cacheHierarchy uniqueName="[Measures].[Costo Total]" caption="Costo Total" measure="1" displayFolder="" measureGroup="ventas" count="0"/>
    <cacheHierarchy uniqueName="[Measures].[__XL_Count ventas]" caption="__XL_Count ventas" measure="1" displayFolder="" measureGroup="ventas" count="0" hidden="1"/>
    <cacheHierarchy uniqueName="[Measures].[__XL_Count productos]" caption="__XL_Count productos" measure="1" displayFolder="" measureGroup="productos" count="0" hidden="1"/>
    <cacheHierarchy uniqueName="[Measures].[__XL_Count clientes]" caption="__XL_Count clientes" measure="1" displayFolder="" measureGroup="cliente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</cacheHierarchies>
  <kpis count="0"/>
  <dimensions count="5">
    <dimension name="Calendario" uniqueName="[Calendario]" caption="Calendario"/>
    <dimension name="clientes" uniqueName="[clientes]" caption="clientes"/>
    <dimension measure="1" name="Measures" uniqueName="[Measures]" caption="Measures"/>
    <dimension name="productos" uniqueName="[productos]" caption="productos"/>
    <dimension name="ventas" uniqueName="[ventas]" caption="ventas"/>
  </dimensions>
  <measureGroups count="4">
    <measureGroup name="Calendario" caption="Calendario"/>
    <measureGroup name="clientes" caption="clientes"/>
    <measureGroup name="productos" caption="productos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lvana ojeda" refreshedDate="46296.799987268518" backgroundQuery="1" createdVersion="8" refreshedVersion="8" minRefreshableVersion="3" recordCount="0" supportSubquery="1" supportAdvancedDrill="1" xr:uid="{8A100843-237D-4DC9-B9BB-B50913574EE4}">
  <cacheSource type="external" connectionId="7"/>
  <cacheFields count="4">
    <cacheField name="[productos].[Categoria].[Categoria]" caption="Categoria" numFmtId="0" hierarchy="10" level="1">
      <sharedItems count="4">
        <s v="Almacén"/>
        <s v="Bebidas"/>
        <s v="Lácteos"/>
        <s v="Limpieza"/>
      </sharedItems>
    </cacheField>
    <cacheField name="[Measures].[Total Ventas]" caption="Total Ventas" numFmtId="0" hierarchy="19" level="32767"/>
    <cacheField name="[Measures].[Margen Neto]" caption="Margen Neto" numFmtId="0" hierarchy="20" level="32767"/>
    <cacheField name="[clientes].[Segmento].[Segmento]" caption="Segmento" numFmtId="0" hierarchy="7" level="1">
      <sharedItems containsSemiMixedTypes="0" containsNonDate="0" containsString="0"/>
    </cacheField>
  </cacheFields>
  <cacheHierarchies count="28">
    <cacheHierarchy uniqueName="[Calendario].[Fecha]" caption="Fecha" attribute="1" time="1" keyAttribute="1" defaultMemberUniqueName="[Calendario].[Fecha].[All]" allUniqueName="[Calendario].[Fecha].[All]" dimensionUniqueName="[Calendario]" displayFolder="" count="2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es_Num]" caption="Mes_Num" attribute="1" time="1" defaultMemberUniqueName="[Calendario].[Mes_Num].[All]" allUniqueName="[Calendario].[Mes_Num].[All]" dimensionUniqueName="[Calendario]" displayFolder="" count="0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lientes].[ID_Cliente]" caption="ID_Cliente" attribute="1" defaultMemberUniqueName="[clientes].[ID_Cliente].[All]" allUniqueName="[clientes].[ID_Cliente].[All]" dimensionUniqueName="[clientes]" displayFolder="" count="0" memberValueDatatype="130" unbalanced="0"/>
    <cacheHierarchy uniqueName="[clientes].[Nombre_Cliente]" caption="Nombre_Cliente" attribute="1" defaultMemberUniqueName="[clientes].[Nombre_Cliente].[All]" allUniqueName="[clientes].[Nombre_Cliente].[All]" dimensionUniqueName="[clientes]" displayFolder="" count="0" memberValueDatatype="130" unbalanced="0"/>
    <cacheHierarchy uniqueName="[clientes].[Ciudad]" caption="Ciudad" attribute="1" defaultMemberUniqueName="[clientes].[Ciudad].[All]" allUniqueName="[clientes].[Ciudad].[All]" dimensionUniqueName="[clientes]" displayFolder="" count="0" memberValueDatatype="130" unbalanced="0"/>
    <cacheHierarchy uniqueName="[clientes].[Segmento]" caption="Segmento" attribute="1" defaultMemberUniqueName="[clientes].[Segmento].[All]" allUniqueName="[clientes].[Segmento].[All]" dimensionUniqueName="[clientes]" displayFolder="" count="2" memberValueDatatype="130" unbalanced="0">
      <fieldsUsage count="2">
        <fieldUsage x="-1"/>
        <fieldUsage x="3"/>
      </fieldsUsage>
    </cacheHierarchy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130" unbalanced="0"/>
    <cacheHierarchy uniqueName="[productos].[Producto]" caption="Producto" attribute="1" defaultMemberUniqueName="[productos].[Producto].[All]" allUniqueName="[productos].[Producto].[All]" dimensionUniqueName="[productos]" displayFolder="" count="0" memberValueDatatype="130" unbalanced="0"/>
    <cacheHierarchy uniqueName="[productos].[Categoria]" caption="Categoria" attribute="1" defaultMemberUniqueName="[productos].[Categoria].[All]" allUniqueName="[productos].[Categoria].[All]" dimensionUniqueName="[productos]" displayFolder="" count="2" memberValueDatatype="130" unbalanced="0">
      <fieldsUsage count="2">
        <fieldUsage x="-1"/>
        <fieldUsage x="0"/>
      </fieldsUsage>
    </cacheHierarchy>
    <cacheHierarchy uniqueName="[ventas].[ID_Venta]" caption="ID_Venta" attribute="1" defaultMemberUniqueName="[ventas].[ID_Venta].[All]" allUniqueName="[ventas].[ID_Venta].[All]" dimensionUniqueName="[ventas]" displayFolder="" count="0" memberValueDatatype="130" unbalanced="0"/>
    <cacheHierarchy uniqueName="[ventas].[Fecha]" caption="Fecha" attribute="1" time="1" defaultMemberUniqueName="[ventas].[Fecha].[All]" allUniqueName="[ventas].[Fecha].[All]" dimensionUniqueName="[ventas]" displayFolder="" count="0" memberValueDatatype="7" unbalanced="0"/>
    <cacheHierarchy uniqueName="[ventas].[ID_Cliente]" caption="ID_Cliente" attribute="1" defaultMemberUniqueName="[ventas].[ID_Cliente].[All]" allUniqueName="[ventas].[ID_Cliente].[All]" dimensionUniqueName="[ventas]" displayFolder="" count="0" memberValueDatatype="130" unbalanced="0"/>
    <cacheHierarchy uniqueName="[ventas].[ID_Producto]" caption="ID_Producto" attribute="1" defaultMemberUniqueName="[ventas].[ID_Producto].[All]" allUniqueName="[ventas].[ID_Producto].[All]" dimensionUniqueName="[ventas]" displayFolder="" count="0" memberValueDatatype="130" unbalanced="0"/>
    <cacheHierarchy uniqueName="[ventas].[Cantidad]" caption="Cantidad" attribute="1" defaultMemberUniqueName="[ventas].[Cantidad].[All]" allUniqueName="[ventas].[Cantidad].[All]" dimensionUniqueName="[ventas]" displayFolder="" count="0" memberValueDatatype="20" unbalanced="0"/>
    <cacheHierarchy uniqueName="[ventas].[Precio_Unitario]" caption="Precio_Unitario" attribute="1" defaultMemberUniqueName="[ventas].[Precio_Unitario].[All]" allUniqueName="[ventas].[Precio_Unitario].[All]" dimensionUniqueName="[ventas]" displayFolder="" count="0" memberValueDatatype="20" unbalanced="0"/>
    <cacheHierarchy uniqueName="[ventas].[Costo_Unitario]" caption="Costo_Unitario" attribute="1" defaultMemberUniqueName="[ventas].[Costo_Unitario].[All]" allUniqueName="[ventas].[Costo_Unitario].[All]" dimensionUniqueName="[ventas]" displayFolder="" count="0" memberValueDatatype="20" unbalanced="0"/>
    <cacheHierarchy uniqueName="[ventas].[Importe]" caption="Importe" attribute="1" defaultMemberUniqueName="[ventas].[Importe].[All]" allUniqueName="[ventas].[Importe].[All]" dimensionUniqueName="[ventas]" displayFolder="" count="0" memberValueDatatype="20" unbalanced="0"/>
    <cacheHierarchy uniqueName="[Measures].[Total Ventas]" caption="Total Ventas" measure="1" displayFolder="" measureGroup="ventas" count="0" oneField="1">
      <fieldsUsage count="1">
        <fieldUsage x="1"/>
      </fieldsUsage>
    </cacheHierarchy>
    <cacheHierarchy uniqueName="[Measures].[Margen Neto]" caption="Margen Neto" measure="1" displayFolder="" measureGroup="ventas" count="0" oneField="1">
      <fieldsUsage count="1">
        <fieldUsage x="2"/>
      </fieldsUsage>
    </cacheHierarchy>
    <cacheHierarchy uniqueName="[Measures].[% Margen]" caption="% Margen" measure="1" displayFolder="" measureGroup="ventas" count="0"/>
    <cacheHierarchy uniqueName="[Measures].[Costo Total]" caption="Costo Total" measure="1" displayFolder="" measureGroup="ventas" count="0"/>
    <cacheHierarchy uniqueName="[Measures].[__XL_Count ventas]" caption="__XL_Count ventas" measure="1" displayFolder="" measureGroup="ventas" count="0" hidden="1"/>
    <cacheHierarchy uniqueName="[Measures].[__XL_Count productos]" caption="__XL_Count productos" measure="1" displayFolder="" measureGroup="productos" count="0" hidden="1"/>
    <cacheHierarchy uniqueName="[Measures].[__XL_Count clientes]" caption="__XL_Count clientes" measure="1" displayFolder="" measureGroup="cliente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</cacheHierarchies>
  <kpis count="0"/>
  <dimensions count="5">
    <dimension name="Calendario" uniqueName="[Calendario]" caption="Calendario"/>
    <dimension name="clientes" uniqueName="[clientes]" caption="clientes"/>
    <dimension measure="1" name="Measures" uniqueName="[Measures]" caption="Measures"/>
    <dimension name="productos" uniqueName="[productos]" caption="productos"/>
    <dimension name="ventas" uniqueName="[ventas]" caption="ventas"/>
  </dimensions>
  <measureGroups count="4">
    <measureGroup name="Calendario" caption="Calendario"/>
    <measureGroup name="clientes" caption="clientes"/>
    <measureGroup name="productos" caption="productos"/>
    <measureGroup name="ventas" caption="ventas"/>
  </measureGroups>
  <maps count="7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silvana ojeda" refreshedDate="46296.513650462963" backgroundQuery="1" createdVersion="3" refreshedVersion="8" minRefreshableVersion="3" recordCount="0" supportSubquery="1" supportAdvancedDrill="1" xr:uid="{7A935555-B376-4156-9830-75FE2D2B8CD8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8">
    <cacheHierarchy uniqueName="[Calendario].[Fecha]" caption="Fecha" attribute="1" time="1" keyAttribute="1" defaultMemberUniqueName="[Calendario].[Fecha].[All]" allUniqueName="[Calendario].[Fecha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es_Num]" caption="Mes_Num" attribute="1" time="1" defaultMemberUniqueName="[Calendario].[Mes_Num].[All]" allUniqueName="[Calendario].[Mes_Num].[All]" dimensionUniqueName="[Calendario]" displayFolder="" count="0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lientes].[ID_Cliente]" caption="ID_Cliente" attribute="1" defaultMemberUniqueName="[clientes].[ID_Cliente].[All]" allUniqueName="[clientes].[ID_Cliente].[All]" dimensionUniqueName="[clientes]" displayFolder="" count="0" memberValueDatatype="130" unbalanced="0"/>
    <cacheHierarchy uniqueName="[clientes].[Nombre_Cliente]" caption="Nombre_Cliente" attribute="1" defaultMemberUniqueName="[clientes].[Nombre_Cliente].[All]" allUniqueName="[clientes].[Nombre_Cliente].[All]" dimensionUniqueName="[clientes]" displayFolder="" count="0" memberValueDatatype="130" unbalanced="0"/>
    <cacheHierarchy uniqueName="[clientes].[Ciudad]" caption="Ciudad" attribute="1" defaultMemberUniqueName="[clientes].[Ciudad].[All]" allUniqueName="[clientes].[Ciudad].[All]" dimensionUniqueName="[clientes]" displayFolder="" count="0" memberValueDatatype="130" unbalanced="0"/>
    <cacheHierarchy uniqueName="[clientes].[Segmento]" caption="Segmento" attribute="1" defaultMemberUniqueName="[clientes].[Segmento].[All]" allUniqueName="[clientes].[Segmento].[All]" dimensionUniqueName="[clientes]" displayFolder="" count="2" memberValueDatatype="130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130" unbalanced="0"/>
    <cacheHierarchy uniqueName="[productos].[Producto]" caption="Producto" attribute="1" defaultMemberUniqueName="[productos].[Producto].[All]" allUniqueName="[productos].[Producto].[All]" dimensionUniqueName="[productos]" displayFolder="" count="0" memberValueDatatype="130" unbalanced="0"/>
    <cacheHierarchy uniqueName="[productos].[Categoria]" caption="Categoria" attribute="1" defaultMemberUniqueName="[productos].[Categoria].[All]" allUniqueName="[productos].[Categoria].[All]" dimensionUniqueName="[productos]" displayFolder="" count="2" memberValueDatatype="130" unbalanced="0"/>
    <cacheHierarchy uniqueName="[ventas].[ID_Venta]" caption="ID_Venta" attribute="1" defaultMemberUniqueName="[ventas].[ID_Venta].[All]" allUniqueName="[ventas].[ID_Venta].[All]" dimensionUniqueName="[ventas]" displayFolder="" count="0" memberValueDatatype="130" unbalanced="0"/>
    <cacheHierarchy uniqueName="[ventas].[Fecha]" caption="Fecha" attribute="1" time="1" defaultMemberUniqueName="[ventas].[Fecha].[All]" allUniqueName="[ventas].[Fecha].[All]" dimensionUniqueName="[ventas]" displayFolder="" count="0" memberValueDatatype="7" unbalanced="0"/>
    <cacheHierarchy uniqueName="[ventas].[ID_Cliente]" caption="ID_Cliente" attribute="1" defaultMemberUniqueName="[ventas].[ID_Cliente].[All]" allUniqueName="[ventas].[ID_Cliente].[All]" dimensionUniqueName="[ventas]" displayFolder="" count="0" memberValueDatatype="130" unbalanced="0"/>
    <cacheHierarchy uniqueName="[ventas].[ID_Producto]" caption="ID_Producto" attribute="1" defaultMemberUniqueName="[ventas].[ID_Producto].[All]" allUniqueName="[ventas].[ID_Producto].[All]" dimensionUniqueName="[ventas]" displayFolder="" count="0" memberValueDatatype="130" unbalanced="0"/>
    <cacheHierarchy uniqueName="[ventas].[Cantidad]" caption="Cantidad" attribute="1" defaultMemberUniqueName="[ventas].[Cantidad].[All]" allUniqueName="[ventas].[Cantidad].[All]" dimensionUniqueName="[ventas]" displayFolder="" count="0" memberValueDatatype="20" unbalanced="0"/>
    <cacheHierarchy uniqueName="[ventas].[Precio_Unitario]" caption="Precio_Unitario" attribute="1" defaultMemberUniqueName="[ventas].[Precio_Unitario].[All]" allUniqueName="[ventas].[Precio_Unitario].[All]" dimensionUniqueName="[ventas]" displayFolder="" count="0" memberValueDatatype="20" unbalanced="0"/>
    <cacheHierarchy uniqueName="[ventas].[Costo_Unitario]" caption="Costo_Unitario" attribute="1" defaultMemberUniqueName="[ventas].[Costo_Unitario].[All]" allUniqueName="[ventas].[Costo_Unitario].[All]" dimensionUniqueName="[ventas]" displayFolder="" count="0" memberValueDatatype="20" unbalanced="0"/>
    <cacheHierarchy uniqueName="[ventas].[Importe]" caption="Importe" attribute="1" defaultMemberUniqueName="[ventas].[Importe].[All]" allUniqueName="[ventas].[Importe].[All]" dimensionUniqueName="[ventas]" displayFolder="" count="0" memberValueDatatype="20" unbalanced="0"/>
    <cacheHierarchy uniqueName="[Measures].[Total Ventas]" caption="Total Ventas" measure="1" displayFolder="" measureGroup="ventas" count="0"/>
    <cacheHierarchy uniqueName="[Measures].[Margen Neto]" caption="Margen Neto" measure="1" displayFolder="" measureGroup="ventas" count="0"/>
    <cacheHierarchy uniqueName="[Measures].[% Margen]" caption="% Margen" measure="1" displayFolder="" measureGroup="ventas" count="0"/>
    <cacheHierarchy uniqueName="[Measures].[Costo Total]" caption="Costo Total" measure="1" displayFolder="" measureGroup="ventas" count="0"/>
    <cacheHierarchy uniqueName="[Measures].[__XL_Count ventas]" caption="__XL_Count ventas" measure="1" displayFolder="" measureGroup="ventas" count="0" hidden="1"/>
    <cacheHierarchy uniqueName="[Measures].[__XL_Count productos]" caption="__XL_Count productos" measure="1" displayFolder="" measureGroup="productos" count="0" hidden="1"/>
    <cacheHierarchy uniqueName="[Measures].[__XL_Count clientes]" caption="__XL_Count clientes" measure="1" displayFolder="" measureGroup="cliente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22697438"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silvana ojeda" refreshedDate="46296.521147916668" backgroundQuery="1" createdVersion="3" refreshedVersion="8" minRefreshableVersion="3" recordCount="0" supportSubquery="1" supportAdvancedDrill="1" xr:uid="{FFA82867-0DAB-48E7-A077-B10CAF6C8950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8">
    <cacheHierarchy uniqueName="[Calendario].[Fecha]" caption="Fecha" attribute="1" time="1" keyAttribute="1" defaultMemberUniqueName="[Calendario].[Fecha].[All]" allUniqueName="[Calendario].[Fecha].[All]" dimensionUniqueName="[Calendario]" displayFolder="" count="2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Mes_Num]" caption="Mes_Num" attribute="1" time="1" defaultMemberUniqueName="[Calendario].[Mes_Num].[All]" allUniqueName="[Calendario].[Mes_Num].[All]" dimensionUniqueName="[Calendario]" displayFolder="" count="0" memberValueDatatype="2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lientes].[ID_Cliente]" caption="ID_Cliente" attribute="1" defaultMemberUniqueName="[clientes].[ID_Cliente].[All]" allUniqueName="[clientes].[ID_Cliente].[All]" dimensionUniqueName="[clientes]" displayFolder="" count="0" memberValueDatatype="130" unbalanced="0"/>
    <cacheHierarchy uniqueName="[clientes].[Nombre_Cliente]" caption="Nombre_Cliente" attribute="1" defaultMemberUniqueName="[clientes].[Nombre_Cliente].[All]" allUniqueName="[clientes].[Nombre_Cliente].[All]" dimensionUniqueName="[clientes]" displayFolder="" count="0" memberValueDatatype="130" unbalanced="0"/>
    <cacheHierarchy uniqueName="[clientes].[Ciudad]" caption="Ciudad" attribute="1" defaultMemberUniqueName="[clientes].[Ciudad].[All]" allUniqueName="[clientes].[Ciudad].[All]" dimensionUniqueName="[clientes]" displayFolder="" count="0" memberValueDatatype="130" unbalanced="0"/>
    <cacheHierarchy uniqueName="[clientes].[Segmento]" caption="Segmento" attribute="1" defaultMemberUniqueName="[clientes].[Segmento].[All]" allUniqueName="[clientes].[Segmento].[All]" dimensionUniqueName="[clientes]" displayFolder="" count="0" memberValueDatatype="130" unbalanced="0"/>
    <cacheHierarchy uniqueName="[productos].[ID_Producto]" caption="ID_Producto" attribute="1" defaultMemberUniqueName="[productos].[ID_Producto].[All]" allUniqueName="[productos].[ID_Producto].[All]" dimensionUniqueName="[productos]" displayFolder="" count="0" memberValueDatatype="130" unbalanced="0"/>
    <cacheHierarchy uniqueName="[productos].[Producto]" caption="Producto" attribute="1" defaultMemberUniqueName="[productos].[Producto].[All]" allUniqueName="[productos].[Producto].[All]" dimensionUniqueName="[productos]" displayFolder="" count="0" memberValueDatatype="130" unbalanced="0"/>
    <cacheHierarchy uniqueName="[productos].[Categoria]" caption="Categoria" attribute="1" defaultMemberUniqueName="[productos].[Categoria].[All]" allUniqueName="[productos].[Categoria].[All]" dimensionUniqueName="[productos]" displayFolder="" count="0" memberValueDatatype="130" unbalanced="0"/>
    <cacheHierarchy uniqueName="[ventas].[ID_Venta]" caption="ID_Venta" attribute="1" defaultMemberUniqueName="[ventas].[ID_Venta].[All]" allUniqueName="[ventas].[ID_Venta].[All]" dimensionUniqueName="[ventas]" displayFolder="" count="0" memberValueDatatype="130" unbalanced="0"/>
    <cacheHierarchy uniqueName="[ventas].[Fecha]" caption="Fecha" attribute="1" time="1" defaultMemberUniqueName="[ventas].[Fecha].[All]" allUniqueName="[ventas].[Fecha].[All]" dimensionUniqueName="[ventas]" displayFolder="" count="0" memberValueDatatype="7" unbalanced="0"/>
    <cacheHierarchy uniqueName="[ventas].[ID_Cliente]" caption="ID_Cliente" attribute="1" defaultMemberUniqueName="[ventas].[ID_Cliente].[All]" allUniqueName="[ventas].[ID_Cliente].[All]" dimensionUniqueName="[ventas]" displayFolder="" count="0" memberValueDatatype="130" unbalanced="0"/>
    <cacheHierarchy uniqueName="[ventas].[ID_Producto]" caption="ID_Producto" attribute="1" defaultMemberUniqueName="[ventas].[ID_Producto].[All]" allUniqueName="[ventas].[ID_Producto].[All]" dimensionUniqueName="[ventas]" displayFolder="" count="0" memberValueDatatype="130" unbalanced="0"/>
    <cacheHierarchy uniqueName="[ventas].[Cantidad]" caption="Cantidad" attribute="1" defaultMemberUniqueName="[ventas].[Cantidad].[All]" allUniqueName="[ventas].[Cantidad].[All]" dimensionUniqueName="[ventas]" displayFolder="" count="0" memberValueDatatype="20" unbalanced="0"/>
    <cacheHierarchy uniqueName="[ventas].[Precio_Unitario]" caption="Precio_Unitario" attribute="1" defaultMemberUniqueName="[ventas].[Precio_Unitario].[All]" allUniqueName="[ventas].[Precio_Unitario].[All]" dimensionUniqueName="[ventas]" displayFolder="" count="0" memberValueDatatype="20" unbalanced="0"/>
    <cacheHierarchy uniqueName="[ventas].[Costo_Unitario]" caption="Costo_Unitario" attribute="1" defaultMemberUniqueName="[ventas].[Costo_Unitario].[All]" allUniqueName="[ventas].[Costo_Unitario].[All]" dimensionUniqueName="[ventas]" displayFolder="" count="0" memberValueDatatype="20" unbalanced="0"/>
    <cacheHierarchy uniqueName="[ventas].[Importe]" caption="Importe" attribute="1" defaultMemberUniqueName="[ventas].[Importe].[All]" allUniqueName="[ventas].[Importe].[All]" dimensionUniqueName="[ventas]" displayFolder="" count="0" memberValueDatatype="20" unbalanced="0"/>
    <cacheHierarchy uniqueName="[Measures].[Total Ventas]" caption="Total Ventas" measure="1" displayFolder="" measureGroup="ventas" count="0"/>
    <cacheHierarchy uniqueName="[Measures].[Margen Neto]" caption="Margen Neto" measure="1" displayFolder="" measureGroup="ventas" count="0"/>
    <cacheHierarchy uniqueName="[Measures].[% Margen]" caption="% Margen" measure="1" displayFolder="" measureGroup="ventas" count="0"/>
    <cacheHierarchy uniqueName="[Measures].[Costo Total]" caption="Costo Total" measure="1" displayFolder="" measureGroup="ventas" count="0"/>
    <cacheHierarchy uniqueName="[Measures].[__XL_Count ventas]" caption="__XL_Count ventas" measure="1" displayFolder="" measureGroup="ventas" count="0" hidden="1"/>
    <cacheHierarchy uniqueName="[Measures].[__XL_Count productos]" caption="__XL_Count productos" measure="1" displayFolder="" measureGroup="productos" count="0" hidden="1"/>
    <cacheHierarchy uniqueName="[Measures].[__XL_Count clientes]" caption="__XL_Count clientes" measure="1" displayFolder="" measureGroup="clientes" count="0" hidden="1"/>
    <cacheHierarchy uniqueName="[Measures].[__XL_Count Calendario]" caption="__XL_Count Calendario" measure="1" displayFolder="" measureGroup="Calendario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45769828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02617-E1EF-43CA-A539-B0BBAFFADC21}" name="TablaDinámica1" cacheId="2" applyNumberFormats="0" applyBorderFormats="0" applyFontFormats="0" applyPatternFormats="0" applyAlignmentFormats="0" applyWidthHeightFormats="1" dataCaption="Valores" tag="ef9a4ea7-52af-437b-9c17-909cf460b84b" updatedVersion="8" minRefreshableVersion="5" useAutoFormatting="1" itemPrintTitles="1" createdVersion="8" indent="0" outline="1" outlineData="1" multipleFieldFilters="0">
  <location ref="A1:C11" firstHeaderRow="0" firstDataRow="1" firstDataCol="1"/>
  <pivotFields count="5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E8333D-2692-4059-B8F4-7AFF56EB79E3}" name="pvt_Categoria" cacheId="3" applyNumberFormats="0" applyBorderFormats="0" applyFontFormats="0" applyPatternFormats="0" applyAlignmentFormats="0" applyWidthHeightFormats="1" dataCaption="Valores" tag="1691049f-37db-433a-bcdb-195c032b80a4" updatedVersion="8" minRefreshableVersion="5" useAutoFormatting="1" itemPrintTitles="1" createdVersion="8" indent="0" outline="1" outlineData="1" multipleFieldFilters="0">
  <location ref="L3:N8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os]"/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14BCD5-9C3F-4534-A85C-86AE025EE349}" name="pvt_Mes" cacheId="0" applyNumberFormats="0" applyBorderFormats="0" applyFontFormats="0" applyPatternFormats="0" applyAlignmentFormats="0" applyWidthHeightFormats="1" dataCaption="Valores" tag="74a261b1-d840-4b3a-96a2-a15659c9a231" updatedVersion="8" minRefreshableVersion="5" useAutoFormatting="1" itemPrintTitles="1" createdVersion="8" indent="0" outline="1" outlineData="1" multipleFieldFilters="0" chartFormat="11">
  <location ref="F3:H13" firstHeaderRow="0" firstDataRow="1" firstDataCol="1"/>
  <pivotFields count="5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69FA7-C8BC-43A2-827B-9C510C275383}" name="pvt_KPI" cacheId="1" applyNumberFormats="0" applyBorderFormats="0" applyFontFormats="0" applyPatternFormats="0" applyAlignmentFormats="0" applyWidthHeightFormats="1" dataCaption="Valores" tag="b56412f7-2ad0-44a3-9fe8-78709f080754" updatedVersion="8" minRefreshableVersion="5" useAutoFormatting="1" itemPrintTitles="1" createdVersion="8" indent="0" outline="1" outlineData="1" multipleFieldFilters="0">
  <location ref="A3:C4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2" subtotal="count" baseField="0" baseItem="0" numFmtId="164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F72D6657-8423-4A61-97E3-A92822FDF41F}" autoFormatId="16" applyNumberFormats="0" applyBorderFormats="0" applyFontFormats="0" applyPatternFormats="0" applyAlignmentFormats="0" applyWidthHeightFormats="0">
  <queryTableRefresh nextId="2">
    <queryTableFields count="1">
      <queryTableField id="1" name="Importe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6" xr16:uid="{2816B525-48C4-4F07-AA6F-00D477228A0D}" autoFormatId="16" applyNumberFormats="0" applyBorderFormats="0" applyFontFormats="0" applyPatternFormats="0" applyAlignmentFormats="0" applyWidthHeightFormats="0">
  <queryTableRefresh nextId="9">
    <queryTableFields count="8">
      <queryTableField id="1" name="ventas[ID_Venta]" tableColumnId="1"/>
      <queryTableField id="2" name="ventas[Fecha]" tableColumnId="2"/>
      <queryTableField id="3" name="ventas[ID_Cliente]" tableColumnId="3"/>
      <queryTableField id="4" name="ventas[ID_Producto]" tableColumnId="4"/>
      <queryTableField id="5" name="ventas[Cantidad]" tableColumnId="5"/>
      <queryTableField id="6" name="ventas[Precio_Unitario]" tableColumnId="6"/>
      <queryTableField id="7" name="ventas[Costo_Unitario]" tableColumnId="7"/>
      <queryTableField id="8" name="ventas[Importe]" tableColumnId="8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B24AE100-662E-4DA9-87C9-1770D21561CA}" sourceName="[productos].[Categoria]">
  <pivotTables>
    <pivotTable tabId="10" name="pvt_Mes"/>
    <pivotTable tabId="10" name="pvt_Categoria"/>
    <pivotTable tabId="10" name="pvt_KPI"/>
    <pivotTable tabId="1" name="TablaDinámica1"/>
  </pivotTables>
  <data>
    <olap pivotCacheId="122697438">
      <levels count="2">
        <level uniqueName="[productos].[Categoria].[(All)]" sourceCaption="(All)" count="0"/>
        <level uniqueName="[productos].[Categoria].[Categoria]" sourceCaption="Categoria" count="4">
          <ranges>
            <range startItem="0">
              <i n="[productos].[Categoria].&amp;[Almacén]" c="Almacén"/>
              <i n="[productos].[Categoria].&amp;[Bebidas]" c="Bebidas"/>
              <i n="[productos].[Categoria].&amp;[Lácteos]" c="Lácteos"/>
              <i n="[productos].[Categoria].&amp;[Limpieza]" c="Limpieza"/>
            </range>
          </ranges>
        </level>
      </levels>
      <selections count="1">
        <selection n="[productos].[Categoria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gmento" xr10:uid="{54ADB411-9532-48EB-A6AF-2F7888023930}" sourceName="[clientes].[Segmento]">
  <pivotTables>
    <pivotTable tabId="10" name="pvt_Mes"/>
    <pivotTable tabId="10" name="pvt_Categoria"/>
    <pivotTable tabId="10" name="pvt_KPI"/>
    <pivotTable tabId="1" name="TablaDinámica1"/>
  </pivotTables>
  <data>
    <olap pivotCacheId="122697438">
      <levels count="2">
        <level uniqueName="[clientes].[Segmento].[(All)]" sourceCaption="(All)" count="0"/>
        <level uniqueName="[clientes].[Segmento].[Segmento]" sourceCaption="Segmento" count="2">
          <ranges>
            <range startItem="0">
              <i n="[clientes].[Segmento].&amp;[Mayorista]" c="Mayorista"/>
              <i n="[clientes].[Segmento].&amp;[Minorista]" c="Minorista"/>
            </range>
          </ranges>
        </level>
      </levels>
      <selections count="1">
        <selection n="[clientes].[Segmento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E703D5A7-471D-4F11-B012-9C9F4F99BCD2}" cache="SegmentaciónDeDatos_Categoria" caption="Categoria" level="1" rowHeight="247650"/>
  <slicer name="Segmento" xr10:uid="{B6E5C636-870D-43B1-A931-E96ADF6B3518}" cache="SegmentaciónDeDatos_Segmento" caption="Segmento" level="1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1A80CF-951E-4553-A036-8667B25FB99E}" name="Ventas_Analisis" displayName="Ventas_Analisis" ref="A1:A309" tableType="queryTable" totalsRowShown="0">
  <autoFilter ref="A1:A309" xr:uid="{0A1A80CF-951E-4553-A036-8667B25FB99E}"/>
  <tableColumns count="1">
    <tableColumn id="1" xr3:uid="{F93D07BB-5CAF-4528-B180-AEA5ECA47872}" uniqueName="1" name="Importe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D1F6E5-3F34-4E1C-B49A-6E417376A086}" name="Tabla_DatosExternos_1" displayName="Tabla_DatosExternos_1" ref="A3:H311" tableType="queryTable" totalsRowShown="0">
  <autoFilter ref="A3:H311" xr:uid="{4BD1F6E5-3F34-4E1C-B49A-6E417376A086}"/>
  <tableColumns count="8">
    <tableColumn id="1" xr3:uid="{6163C83B-4D45-47C9-A4DE-9A35E4D33423}" uniqueName="1" name="ventas[ID_Venta]" queryTableFieldId="1"/>
    <tableColumn id="2" xr3:uid="{C1517D5F-24C7-4727-9F2A-CA04F6073506}" uniqueName="2" name="ventas[Fecha]" queryTableFieldId="2" dataDxfId="6"/>
    <tableColumn id="3" xr3:uid="{B74E241D-5CCC-4266-B8E8-8B81B74996E3}" uniqueName="3" name="ventas[ID_Cliente]" queryTableFieldId="3"/>
    <tableColumn id="4" xr3:uid="{5467D0FB-A6B8-4619-B51F-8BFD6CB5E4A6}" uniqueName="4" name="ventas[ID_Producto]" queryTableFieldId="4"/>
    <tableColumn id="5" xr3:uid="{C3CB5AF2-FECA-4693-A0B5-082A4EABD0BC}" uniqueName="5" name="ventas[Cantidad]" queryTableFieldId="5"/>
    <tableColumn id="6" xr3:uid="{6C2F3333-BCE9-4537-B8EE-B9E69475389A}" uniqueName="6" name="ventas[Precio_Unitario]" queryTableFieldId="6"/>
    <tableColumn id="7" xr3:uid="{25864B96-6A54-4469-BAF7-D630AB0E4284}" uniqueName="7" name="ventas[Costo_Unitario]" queryTableFieldId="7"/>
    <tableColumn id="8" xr3:uid="{C487A188-28ED-4A1E-B6AA-5CFF18A3FF07}" uniqueName="8" name="ventas[Importe]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Fecha" xr10:uid="{80B6F073-DDA1-444B-AF41-BAE7DE8C5F0B}" sourceName="[Calendario].[Fecha]">
  <pivotTables>
    <pivotTable tabId="10" name="pvt_Mes"/>
    <pivotTable tabId="10" name="pvt_Categoria"/>
    <pivotTable tabId="10" name="pvt_KPI"/>
    <pivotTable tabId="1" name="TablaDinámica1"/>
  </pivotTables>
  <state minimalRefreshVersion="6" lastRefreshVersion="6" pivotCacheId="457698283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04AE3BC9-A508-4AB9-859E-2986F6BBB8F3}" cache="Timeline_Fecha" caption="Fecha" level="2" selectionLevel="2" scrollPosition="2026-05-28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BAC62-56EF-4F97-9B52-9757B99FBF74}">
  <dimension ref="B2:D6"/>
  <sheetViews>
    <sheetView showGridLines="0" tabSelected="1" topLeftCell="B12" zoomScaleNormal="100" workbookViewId="0">
      <selection activeCell="AL24" sqref="AL24"/>
    </sheetView>
  </sheetViews>
  <sheetFormatPr baseColWidth="10" defaultColWidth="3.77734375" defaultRowHeight="18"/>
  <cols>
    <col min="1" max="1" width="3.77734375" style="17"/>
    <col min="2" max="2" width="23.6640625" style="17" bestFit="1" customWidth="1"/>
    <col min="3" max="3" width="18.44140625" style="17" bestFit="1" customWidth="1"/>
    <col min="4" max="4" width="14.6640625" style="17" bestFit="1" customWidth="1"/>
    <col min="5" max="16384" width="3.77734375" style="17"/>
  </cols>
  <sheetData>
    <row r="2" spans="2:4" ht="23.4">
      <c r="B2" s="24" t="s">
        <v>398</v>
      </c>
    </row>
    <row r="4" spans="2:4">
      <c r="B4" s="17" t="s">
        <v>28</v>
      </c>
      <c r="C4" s="17" t="s">
        <v>47</v>
      </c>
      <c r="D4" s="17" t="s">
        <v>396</v>
      </c>
    </row>
    <row r="5" spans="2:4">
      <c r="B5" s="21">
        <f>Calculos!A4/1000000</f>
        <v>20.50422</v>
      </c>
      <c r="C5" s="22">
        <f>Calculos!C4</f>
        <v>0.32578074172048488</v>
      </c>
      <c r="D5" s="23">
        <f>Calculos!B14</f>
        <v>0.2299316754959122</v>
      </c>
    </row>
    <row r="6" spans="2:4">
      <c r="B6" s="17" t="str">
        <f>"Meta: $ "&amp;TEXT(Calculos!B29/1000000,"0,0")&amp;" M"</f>
        <v>Meta: $ 20,0 M</v>
      </c>
      <c r="C6" s="17" t="str">
        <f>"Meta: "&amp;TEXT(Calculos!B30,"0%")</f>
        <v>Meta: 30%</v>
      </c>
      <c r="D6" t="str">
        <f>"Meta: "&amp;TEXT(Calculos!B31,"0%")</f>
        <v>Meta: 0%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F46670F7-CBAD-4441-8DDD-4305DC409555}">
            <xm:f>B5&lt;Calculos!$B$29/1000000</xm:f>
            <x14:dxf>
              <font>
                <color theme="5" tint="0.39994506668294322"/>
              </font>
            </x14:dxf>
          </x14:cfRule>
          <x14:cfRule type="expression" priority="6" id="{FFD55513-2BC6-4C05-988D-E0BB18164452}">
            <xm:f>B5&gt;=Calculos!$B$29/1000000</xm:f>
            <x14:dxf>
              <font>
                <color theme="3" tint="0.499984740745262"/>
              </font>
            </x14:dxf>
          </x14:cfRule>
          <xm:sqref>B5</xm:sqref>
        </x14:conditionalFormatting>
        <x14:conditionalFormatting xmlns:xm="http://schemas.microsoft.com/office/excel/2006/main">
          <x14:cfRule type="expression" priority="3" id="{CDD65A5A-D24E-4423-96B7-8C08907755B9}">
            <xm:f>C5&lt;Calculos!$B$30</xm:f>
            <x14:dxf>
              <font>
                <color theme="3" tint="0.499984740745262"/>
              </font>
            </x14:dxf>
          </x14:cfRule>
          <x14:cfRule type="expression" priority="4" id="{CDD9B2BA-2B56-43E0-B980-700C30F3B3F2}">
            <xm:f>C5&gt;=Calculos!$B$30</xm:f>
            <x14:dxf>
              <font>
                <color theme="5" tint="-0.24994659260841701"/>
              </font>
            </x14:dxf>
          </x14:cfRule>
          <xm:sqref>C5</xm:sqref>
        </x14:conditionalFormatting>
        <x14:conditionalFormatting xmlns:xm="http://schemas.microsoft.com/office/excel/2006/main">
          <x14:cfRule type="expression" priority="1" id="{0B8E70B2-3353-469F-9A11-7215D3CC9747}">
            <xm:f>D5&lt;Calculos!$B$31</xm:f>
            <x14:dxf>
              <font>
                <color theme="5" tint="-0.24994659260841701"/>
              </font>
            </x14:dxf>
          </x14:cfRule>
          <x14:cfRule type="expression" priority="2" id="{31AD16CA-E066-412C-9DD8-32D7831ABFBA}">
            <xm:f>D5&gt;=Calculos!$B$31</xm:f>
            <x14:dxf>
              <font>
                <color theme="3" tint="0.499984740745262"/>
              </font>
            </x14:dxf>
          </x14:cfRule>
          <xm:sqref>D5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1DC25-BA41-4CE0-89DF-CE0FFD356FA7}">
  <dimension ref="A1:A309"/>
  <sheetViews>
    <sheetView topLeftCell="A285" workbookViewId="0"/>
  </sheetViews>
  <sheetFormatPr baseColWidth="10" defaultRowHeight="14.4"/>
  <cols>
    <col min="1" max="1" width="9.88671875" bestFit="1" customWidth="1"/>
  </cols>
  <sheetData>
    <row r="1" spans="1:1">
      <c r="A1" t="s">
        <v>13</v>
      </c>
    </row>
    <row r="2" spans="1:1">
      <c r="A2">
        <v>99200</v>
      </c>
    </row>
    <row r="3" spans="1:1">
      <c r="A3">
        <v>95000</v>
      </c>
    </row>
    <row r="4" spans="1:1">
      <c r="A4">
        <v>16000</v>
      </c>
    </row>
    <row r="5" spans="1:1">
      <c r="A5">
        <v>91200</v>
      </c>
    </row>
    <row r="6" spans="1:1">
      <c r="A6">
        <v>12000</v>
      </c>
    </row>
    <row r="7" spans="1:1">
      <c r="A7">
        <v>1300</v>
      </c>
    </row>
    <row r="8" spans="1:1">
      <c r="A8">
        <v>3200</v>
      </c>
    </row>
    <row r="9" spans="1:1">
      <c r="A9">
        <v>1900</v>
      </c>
    </row>
    <row r="10" spans="1:1">
      <c r="A10">
        <v>104500</v>
      </c>
    </row>
    <row r="11" spans="1:1">
      <c r="A11">
        <v>38400</v>
      </c>
    </row>
    <row r="12" spans="1:1">
      <c r="A12">
        <v>30400</v>
      </c>
    </row>
    <row r="13" spans="1:1">
      <c r="A13">
        <v>83200</v>
      </c>
    </row>
    <row r="14" spans="1:1">
      <c r="A14">
        <v>20800</v>
      </c>
    </row>
    <row r="15" spans="1:1">
      <c r="A15">
        <v>10500</v>
      </c>
    </row>
    <row r="16" spans="1:1">
      <c r="A16">
        <v>63800</v>
      </c>
    </row>
    <row r="17" spans="1:1">
      <c r="A17">
        <v>123500</v>
      </c>
    </row>
    <row r="18" spans="1:1">
      <c r="A18">
        <v>37500</v>
      </c>
    </row>
    <row r="19" spans="1:1">
      <c r="A19">
        <v>51200</v>
      </c>
    </row>
    <row r="20" spans="1:1">
      <c r="A20">
        <v>104500</v>
      </c>
    </row>
    <row r="21" spans="1:1">
      <c r="A21">
        <v>54400</v>
      </c>
    </row>
    <row r="22" spans="1:1">
      <c r="A22">
        <v>1300</v>
      </c>
    </row>
    <row r="23" spans="1:1">
      <c r="A23">
        <v>12000</v>
      </c>
    </row>
    <row r="24" spans="1:1">
      <c r="A24">
        <v>102600</v>
      </c>
    </row>
    <row r="25" spans="1:1">
      <c r="A25">
        <v>83200</v>
      </c>
    </row>
    <row r="26" spans="1:1">
      <c r="A26">
        <v>110400</v>
      </c>
    </row>
    <row r="27" spans="1:1">
      <c r="A27">
        <v>133000</v>
      </c>
    </row>
    <row r="28" spans="1:1">
      <c r="A28">
        <v>37200</v>
      </c>
    </row>
    <row r="29" spans="1:1">
      <c r="A29">
        <v>10500</v>
      </c>
    </row>
    <row r="30" spans="1:1">
      <c r="A30">
        <v>108000</v>
      </c>
    </row>
    <row r="31" spans="1:1">
      <c r="A31">
        <v>14800</v>
      </c>
    </row>
    <row r="32" spans="1:1">
      <c r="A32">
        <v>95680</v>
      </c>
    </row>
    <row r="33" spans="1:1">
      <c r="A33">
        <v>82500</v>
      </c>
    </row>
    <row r="34" spans="1:1">
      <c r="A34">
        <v>35880</v>
      </c>
    </row>
    <row r="35" spans="1:1">
      <c r="A35">
        <v>21440</v>
      </c>
    </row>
    <row r="36" spans="1:1">
      <c r="A36">
        <v>52800</v>
      </c>
    </row>
    <row r="37" spans="1:1">
      <c r="A37">
        <v>73370</v>
      </c>
    </row>
    <row r="38" spans="1:1">
      <c r="A38">
        <v>54230</v>
      </c>
    </row>
    <row r="39" spans="1:1">
      <c r="A39">
        <v>41250</v>
      </c>
    </row>
    <row r="40" spans="1:1">
      <c r="A40">
        <v>14800</v>
      </c>
    </row>
    <row r="41" spans="1:1">
      <c r="A41">
        <v>29700</v>
      </c>
    </row>
    <row r="42" spans="1:1">
      <c r="A42">
        <v>33000</v>
      </c>
    </row>
    <row r="43" spans="1:1">
      <c r="A43">
        <v>26800</v>
      </c>
    </row>
    <row r="44" spans="1:1">
      <c r="A44">
        <v>134550</v>
      </c>
    </row>
    <row r="45" spans="1:1">
      <c r="A45">
        <v>16500</v>
      </c>
    </row>
    <row r="46" spans="1:1">
      <c r="A46">
        <v>137170</v>
      </c>
    </row>
    <row r="47" spans="1:1">
      <c r="A47">
        <v>19250</v>
      </c>
    </row>
    <row r="48" spans="1:1">
      <c r="A48">
        <v>25900</v>
      </c>
    </row>
    <row r="49" spans="1:1">
      <c r="A49">
        <v>50960</v>
      </c>
    </row>
    <row r="50" spans="1:1">
      <c r="A50">
        <v>352080</v>
      </c>
    </row>
    <row r="51" spans="1:1">
      <c r="A51">
        <v>13200</v>
      </c>
    </row>
    <row r="52" spans="1:1">
      <c r="A52">
        <v>96200</v>
      </c>
    </row>
    <row r="53" spans="1:1">
      <c r="A53">
        <v>35000</v>
      </c>
    </row>
    <row r="54" spans="1:1">
      <c r="A54">
        <v>10720</v>
      </c>
    </row>
    <row r="55" spans="1:1">
      <c r="A55">
        <v>44660</v>
      </c>
    </row>
    <row r="56" spans="1:1">
      <c r="A56">
        <v>16650</v>
      </c>
    </row>
    <row r="57" spans="1:1">
      <c r="A57">
        <v>137170</v>
      </c>
    </row>
    <row r="58" spans="1:1">
      <c r="A58">
        <v>44660</v>
      </c>
    </row>
    <row r="59" spans="1:1">
      <c r="A59">
        <v>32890</v>
      </c>
    </row>
    <row r="60" spans="1:1">
      <c r="A60">
        <v>29400</v>
      </c>
    </row>
    <row r="61" spans="1:1">
      <c r="A61">
        <v>31500</v>
      </c>
    </row>
    <row r="62" spans="1:1">
      <c r="A62">
        <v>161700</v>
      </c>
    </row>
    <row r="63" spans="1:1">
      <c r="A63">
        <v>52800</v>
      </c>
    </row>
    <row r="64" spans="1:1">
      <c r="A64">
        <v>16500</v>
      </c>
    </row>
    <row r="65" spans="1:1">
      <c r="A65">
        <v>44660</v>
      </c>
    </row>
    <row r="66" spans="1:1">
      <c r="A66">
        <v>14820</v>
      </c>
    </row>
    <row r="67" spans="1:1">
      <c r="A67">
        <v>47850</v>
      </c>
    </row>
    <row r="68" spans="1:1">
      <c r="A68">
        <v>41990</v>
      </c>
    </row>
    <row r="69" spans="1:1">
      <c r="A69">
        <v>29600</v>
      </c>
    </row>
    <row r="70" spans="1:1">
      <c r="A70">
        <v>8040</v>
      </c>
    </row>
    <row r="71" spans="1:1">
      <c r="A71">
        <v>33250</v>
      </c>
    </row>
    <row r="72" spans="1:1">
      <c r="A72">
        <v>322740</v>
      </c>
    </row>
    <row r="73" spans="1:1">
      <c r="A73">
        <v>16080</v>
      </c>
    </row>
    <row r="74" spans="1:1">
      <c r="A74">
        <v>88020</v>
      </c>
    </row>
    <row r="75" spans="1:1">
      <c r="A75">
        <v>17940</v>
      </c>
    </row>
    <row r="76" spans="1:1">
      <c r="A76">
        <v>29480</v>
      </c>
    </row>
    <row r="77" spans="1:1">
      <c r="A77">
        <v>7840</v>
      </c>
    </row>
    <row r="78" spans="1:1">
      <c r="A78">
        <v>107640</v>
      </c>
    </row>
    <row r="79" spans="1:1">
      <c r="A79">
        <v>70840</v>
      </c>
    </row>
    <row r="80" spans="1:1">
      <c r="A80">
        <v>21560</v>
      </c>
    </row>
    <row r="81" spans="1:1">
      <c r="A81">
        <v>402800</v>
      </c>
    </row>
    <row r="82" spans="1:1">
      <c r="A82">
        <v>3820</v>
      </c>
    </row>
    <row r="83" spans="1:1">
      <c r="A83">
        <v>39480</v>
      </c>
    </row>
    <row r="84" spans="1:1">
      <c r="A84">
        <v>28620</v>
      </c>
    </row>
    <row r="85" spans="1:1">
      <c r="A85">
        <v>18000</v>
      </c>
    </row>
    <row r="86" spans="1:1">
      <c r="A86">
        <v>157920</v>
      </c>
    </row>
    <row r="87" spans="1:1">
      <c r="A87">
        <v>3820</v>
      </c>
    </row>
    <row r="88" spans="1:1">
      <c r="A88">
        <v>50850</v>
      </c>
    </row>
    <row r="89" spans="1:1">
      <c r="A89">
        <v>139700</v>
      </c>
    </row>
    <row r="90" spans="1:1">
      <c r="A90">
        <v>15180</v>
      </c>
    </row>
    <row r="91" spans="1:1">
      <c r="A91">
        <v>26320</v>
      </c>
    </row>
    <row r="92" spans="1:1">
      <c r="A92">
        <v>27120</v>
      </c>
    </row>
    <row r="93" spans="1:1">
      <c r="A93">
        <v>402800</v>
      </c>
    </row>
    <row r="94" spans="1:1">
      <c r="A94">
        <v>13800</v>
      </c>
    </row>
    <row r="95" spans="1:1">
      <c r="A95">
        <v>50800</v>
      </c>
    </row>
    <row r="96" spans="1:1">
      <c r="A96">
        <v>6780</v>
      </c>
    </row>
    <row r="97" spans="1:1">
      <c r="A97">
        <v>74580</v>
      </c>
    </row>
    <row r="98" spans="1:1">
      <c r="A98">
        <v>62510</v>
      </c>
    </row>
    <row r="99" spans="1:1">
      <c r="A99">
        <v>57630</v>
      </c>
    </row>
    <row r="100" spans="1:1">
      <c r="A100">
        <v>231610</v>
      </c>
    </row>
    <row r="101" spans="1:1">
      <c r="A101">
        <v>40200</v>
      </c>
    </row>
    <row r="102" spans="1:1">
      <c r="A102">
        <v>90000</v>
      </c>
    </row>
    <row r="103" spans="1:1">
      <c r="A103">
        <v>135600</v>
      </c>
    </row>
    <row r="104" spans="1:1">
      <c r="A104">
        <v>37260</v>
      </c>
    </row>
    <row r="105" spans="1:1">
      <c r="A105">
        <v>28980</v>
      </c>
    </row>
    <row r="106" spans="1:1">
      <c r="A106">
        <v>18700</v>
      </c>
    </row>
    <row r="107" spans="1:1">
      <c r="A107">
        <v>36000</v>
      </c>
    </row>
    <row r="108" spans="1:1">
      <c r="A108">
        <v>22080</v>
      </c>
    </row>
    <row r="109" spans="1:1">
      <c r="A109">
        <v>115260</v>
      </c>
    </row>
    <row r="110" spans="1:1">
      <c r="A110">
        <v>186450</v>
      </c>
    </row>
    <row r="111" spans="1:1">
      <c r="A111">
        <v>136240</v>
      </c>
    </row>
    <row r="112" spans="1:1">
      <c r="A112">
        <v>33120</v>
      </c>
    </row>
    <row r="113" spans="1:1">
      <c r="A113">
        <v>50460</v>
      </c>
    </row>
    <row r="114" spans="1:1">
      <c r="A114">
        <v>27440</v>
      </c>
    </row>
    <row r="115" spans="1:1">
      <c r="A115">
        <v>14200</v>
      </c>
    </row>
    <row r="116" spans="1:1">
      <c r="A116">
        <v>30420</v>
      </c>
    </row>
    <row r="117" spans="1:1">
      <c r="A117">
        <v>18460</v>
      </c>
    </row>
    <row r="118" spans="1:1">
      <c r="A118">
        <v>37920</v>
      </c>
    </row>
    <row r="119" spans="1:1">
      <c r="A119">
        <v>8700</v>
      </c>
    </row>
    <row r="120" spans="1:1">
      <c r="A120">
        <v>60040</v>
      </c>
    </row>
    <row r="121" spans="1:1">
      <c r="A121">
        <v>31080</v>
      </c>
    </row>
    <row r="122" spans="1:1">
      <c r="A122">
        <v>125760</v>
      </c>
    </row>
    <row r="123" spans="1:1">
      <c r="A123">
        <v>31130</v>
      </c>
    </row>
    <row r="124" spans="1:1">
      <c r="A124">
        <v>53820</v>
      </c>
    </row>
    <row r="125" spans="1:1">
      <c r="A125">
        <v>8490</v>
      </c>
    </row>
    <row r="126" spans="1:1">
      <c r="A126">
        <v>21560</v>
      </c>
    </row>
    <row r="127" spans="1:1">
      <c r="A127">
        <v>11760</v>
      </c>
    </row>
    <row r="128" spans="1:1">
      <c r="A128">
        <v>155400</v>
      </c>
    </row>
    <row r="129" spans="1:1">
      <c r="A129">
        <v>97960</v>
      </c>
    </row>
    <row r="130" spans="1:1">
      <c r="A130">
        <v>31320</v>
      </c>
    </row>
    <row r="131" spans="1:1">
      <c r="A131">
        <v>217560</v>
      </c>
    </row>
    <row r="132" spans="1:1">
      <c r="A132">
        <v>28400</v>
      </c>
    </row>
    <row r="133" spans="1:1">
      <c r="A133">
        <v>37240</v>
      </c>
    </row>
    <row r="134" spans="1:1">
      <c r="A134">
        <v>57640</v>
      </c>
    </row>
    <row r="135" spans="1:1">
      <c r="A135">
        <v>38340</v>
      </c>
    </row>
    <row r="136" spans="1:1">
      <c r="A136">
        <v>20280</v>
      </c>
    </row>
    <row r="137" spans="1:1">
      <c r="A137">
        <v>10350</v>
      </c>
    </row>
    <row r="138" spans="1:1">
      <c r="A138">
        <v>22200</v>
      </c>
    </row>
    <row r="139" spans="1:1">
      <c r="A139">
        <v>17640</v>
      </c>
    </row>
    <row r="140" spans="1:1">
      <c r="A140">
        <v>117900</v>
      </c>
    </row>
    <row r="141" spans="1:1">
      <c r="A141">
        <v>51800</v>
      </c>
    </row>
    <row r="142" spans="1:1">
      <c r="A142">
        <v>103600</v>
      </c>
    </row>
    <row r="143" spans="1:1">
      <c r="A143">
        <v>12950</v>
      </c>
    </row>
    <row r="144" spans="1:1">
      <c r="A144">
        <v>21560</v>
      </c>
    </row>
    <row r="145" spans="1:1">
      <c r="A145">
        <v>191950</v>
      </c>
    </row>
    <row r="146" spans="1:1">
      <c r="A146">
        <v>8070</v>
      </c>
    </row>
    <row r="147" spans="1:1">
      <c r="A147">
        <v>48750</v>
      </c>
    </row>
    <row r="148" spans="1:1">
      <c r="A148">
        <v>50120</v>
      </c>
    </row>
    <row r="149" spans="1:1">
      <c r="A149">
        <v>4380</v>
      </c>
    </row>
    <row r="150" spans="1:1">
      <c r="A150">
        <v>5840</v>
      </c>
    </row>
    <row r="151" spans="1:1">
      <c r="A151">
        <v>38340</v>
      </c>
    </row>
    <row r="152" spans="1:1">
      <c r="A152">
        <v>145500</v>
      </c>
    </row>
    <row r="153" spans="1:1">
      <c r="A153">
        <v>2910</v>
      </c>
    </row>
    <row r="154" spans="1:1">
      <c r="A154">
        <v>574560</v>
      </c>
    </row>
    <row r="155" spans="1:1">
      <c r="A155">
        <v>55290</v>
      </c>
    </row>
    <row r="156" spans="1:1">
      <c r="A156">
        <v>12530</v>
      </c>
    </row>
    <row r="157" spans="1:1">
      <c r="A157">
        <v>186160</v>
      </c>
    </row>
    <row r="158" spans="1:1">
      <c r="A158">
        <v>5370</v>
      </c>
    </row>
    <row r="159" spans="1:1">
      <c r="A159">
        <v>30400</v>
      </c>
    </row>
    <row r="160" spans="1:1">
      <c r="A160">
        <v>18980</v>
      </c>
    </row>
    <row r="161" spans="1:1">
      <c r="A161">
        <v>13440</v>
      </c>
    </row>
    <row r="162" spans="1:1">
      <c r="A162">
        <v>1680</v>
      </c>
    </row>
    <row r="163" spans="1:1">
      <c r="A163">
        <v>90720</v>
      </c>
    </row>
    <row r="164" spans="1:1">
      <c r="A164">
        <v>100110</v>
      </c>
    </row>
    <row r="165" spans="1:1">
      <c r="A165">
        <v>16110</v>
      </c>
    </row>
    <row r="166" spans="1:1">
      <c r="A166">
        <v>24290</v>
      </c>
    </row>
    <row r="167" spans="1:1">
      <c r="A167">
        <v>23270</v>
      </c>
    </row>
    <row r="168" spans="1:1">
      <c r="A168">
        <v>34920</v>
      </c>
    </row>
    <row r="169" spans="1:1">
      <c r="A169">
        <v>159600</v>
      </c>
    </row>
    <row r="170" spans="1:1">
      <c r="A170">
        <v>125670</v>
      </c>
    </row>
    <row r="171" spans="1:1">
      <c r="A171">
        <v>31950</v>
      </c>
    </row>
    <row r="172" spans="1:1">
      <c r="A172">
        <v>156020</v>
      </c>
    </row>
    <row r="173" spans="1:1">
      <c r="A173">
        <v>46720</v>
      </c>
    </row>
    <row r="174" spans="1:1">
      <c r="A174">
        <v>17040</v>
      </c>
    </row>
    <row r="175" spans="1:1">
      <c r="A175">
        <v>22220</v>
      </c>
    </row>
    <row r="176" spans="1:1">
      <c r="A176">
        <v>50120</v>
      </c>
    </row>
    <row r="177" spans="1:1">
      <c r="A177">
        <v>104910</v>
      </c>
    </row>
    <row r="178" spans="1:1">
      <c r="A178">
        <v>161400</v>
      </c>
    </row>
    <row r="179" spans="1:1">
      <c r="A179">
        <v>1900</v>
      </c>
    </row>
    <row r="180" spans="1:1">
      <c r="A180">
        <v>55380</v>
      </c>
    </row>
    <row r="181" spans="1:1">
      <c r="A181">
        <v>57120</v>
      </c>
    </row>
    <row r="182" spans="1:1">
      <c r="A182">
        <v>161400</v>
      </c>
    </row>
    <row r="183" spans="1:1">
      <c r="A183">
        <v>46560</v>
      </c>
    </row>
    <row r="184" spans="1:1">
      <c r="A184">
        <v>30430</v>
      </c>
    </row>
    <row r="185" spans="1:1">
      <c r="A185">
        <v>159250</v>
      </c>
    </row>
    <row r="186" spans="1:1">
      <c r="A186">
        <v>81700</v>
      </c>
    </row>
    <row r="187" spans="1:1">
      <c r="A187">
        <v>38640</v>
      </c>
    </row>
    <row r="188" spans="1:1">
      <c r="A188">
        <v>56960</v>
      </c>
    </row>
    <row r="189" spans="1:1">
      <c r="A189">
        <v>103040</v>
      </c>
    </row>
    <row r="190" spans="1:1">
      <c r="A190">
        <v>77280</v>
      </c>
    </row>
    <row r="191" spans="1:1">
      <c r="A191">
        <v>22770</v>
      </c>
    </row>
    <row r="192" spans="1:1">
      <c r="A192">
        <v>98280</v>
      </c>
    </row>
    <row r="193" spans="1:1">
      <c r="A193">
        <v>53820</v>
      </c>
    </row>
    <row r="194" spans="1:1">
      <c r="A194">
        <v>1950</v>
      </c>
    </row>
    <row r="195" spans="1:1">
      <c r="A195">
        <v>101200</v>
      </c>
    </row>
    <row r="196" spans="1:1">
      <c r="A196">
        <v>196560</v>
      </c>
    </row>
    <row r="197" spans="1:1">
      <c r="A197">
        <v>38640</v>
      </c>
    </row>
    <row r="198" spans="1:1">
      <c r="A198">
        <v>33120</v>
      </c>
    </row>
    <row r="199" spans="1:1">
      <c r="A199">
        <v>37060</v>
      </c>
    </row>
    <row r="200" spans="1:1">
      <c r="A200">
        <v>18920</v>
      </c>
    </row>
    <row r="201" spans="1:1">
      <c r="A201">
        <v>41400</v>
      </c>
    </row>
    <row r="202" spans="1:1">
      <c r="A202">
        <v>55890</v>
      </c>
    </row>
    <row r="203" spans="1:1">
      <c r="A203">
        <v>38640</v>
      </c>
    </row>
    <row r="204" spans="1:1">
      <c r="A204">
        <v>65400</v>
      </c>
    </row>
    <row r="205" spans="1:1">
      <c r="A205">
        <v>107640</v>
      </c>
    </row>
    <row r="206" spans="1:1">
      <c r="A206">
        <v>51520</v>
      </c>
    </row>
    <row r="207" spans="1:1">
      <c r="A207">
        <v>31280</v>
      </c>
    </row>
    <row r="208" spans="1:1">
      <c r="A208">
        <v>26910</v>
      </c>
    </row>
    <row r="209" spans="1:1">
      <c r="A209">
        <v>39000</v>
      </c>
    </row>
    <row r="210" spans="1:1">
      <c r="A210">
        <v>26640</v>
      </c>
    </row>
    <row r="211" spans="1:1">
      <c r="A211">
        <v>371280</v>
      </c>
    </row>
    <row r="212" spans="1:1">
      <c r="A212">
        <v>16390</v>
      </c>
    </row>
    <row r="213" spans="1:1">
      <c r="A213">
        <v>132480</v>
      </c>
    </row>
    <row r="214" spans="1:1">
      <c r="A214">
        <v>65520</v>
      </c>
    </row>
    <row r="215" spans="1:1">
      <c r="A215">
        <v>25760</v>
      </c>
    </row>
    <row r="216" spans="1:1">
      <c r="A216">
        <v>53280</v>
      </c>
    </row>
    <row r="217" spans="1:1">
      <c r="A217">
        <v>143190</v>
      </c>
    </row>
    <row r="218" spans="1:1">
      <c r="A218">
        <v>196560</v>
      </c>
    </row>
    <row r="219" spans="1:1">
      <c r="A219">
        <v>39160</v>
      </c>
    </row>
    <row r="220" spans="1:1">
      <c r="A220">
        <v>46620</v>
      </c>
    </row>
    <row r="221" spans="1:1">
      <c r="A221">
        <v>9450</v>
      </c>
    </row>
    <row r="222" spans="1:1">
      <c r="A222">
        <v>112100</v>
      </c>
    </row>
    <row r="223" spans="1:1">
      <c r="A223">
        <v>30780</v>
      </c>
    </row>
    <row r="224" spans="1:1">
      <c r="A224">
        <v>43920</v>
      </c>
    </row>
    <row r="225" spans="1:1">
      <c r="A225">
        <v>34020</v>
      </c>
    </row>
    <row r="226" spans="1:1">
      <c r="A226">
        <v>37800</v>
      </c>
    </row>
    <row r="227" spans="1:1">
      <c r="A227">
        <v>76380</v>
      </c>
    </row>
    <row r="228" spans="1:1">
      <c r="A228">
        <v>92460</v>
      </c>
    </row>
    <row r="229" spans="1:1">
      <c r="A229">
        <v>9450</v>
      </c>
    </row>
    <row r="230" spans="1:1">
      <c r="A230">
        <v>219600</v>
      </c>
    </row>
    <row r="231" spans="1:1">
      <c r="A231">
        <v>55260</v>
      </c>
    </row>
    <row r="232" spans="1:1">
      <c r="A232">
        <v>30780</v>
      </c>
    </row>
    <row r="233" spans="1:1">
      <c r="A233">
        <v>35910</v>
      </c>
    </row>
    <row r="234" spans="1:1">
      <c r="A234">
        <v>30780</v>
      </c>
    </row>
    <row r="235" spans="1:1">
      <c r="A235">
        <v>153500</v>
      </c>
    </row>
    <row r="236" spans="1:1">
      <c r="A236">
        <v>79380</v>
      </c>
    </row>
    <row r="237" spans="1:1">
      <c r="A237">
        <v>74340</v>
      </c>
    </row>
    <row r="238" spans="1:1">
      <c r="A238">
        <v>215940</v>
      </c>
    </row>
    <row r="239" spans="1:1">
      <c r="A239">
        <v>25440</v>
      </c>
    </row>
    <row r="240" spans="1:1">
      <c r="A240">
        <v>55260</v>
      </c>
    </row>
    <row r="241" spans="1:1">
      <c r="A241">
        <v>106530</v>
      </c>
    </row>
    <row r="242" spans="1:1">
      <c r="A242">
        <v>25440</v>
      </c>
    </row>
    <row r="243" spans="1:1">
      <c r="A243">
        <v>167580</v>
      </c>
    </row>
    <row r="244" spans="1:1">
      <c r="A244">
        <v>89680</v>
      </c>
    </row>
    <row r="245" spans="1:1">
      <c r="A245">
        <v>33600</v>
      </c>
    </row>
    <row r="246" spans="1:1">
      <c r="A246">
        <v>22680</v>
      </c>
    </row>
    <row r="247" spans="1:1">
      <c r="A247">
        <v>45320</v>
      </c>
    </row>
    <row r="248" spans="1:1">
      <c r="A248">
        <v>69080</v>
      </c>
    </row>
    <row r="249" spans="1:1">
      <c r="A249">
        <v>59740</v>
      </c>
    </row>
    <row r="250" spans="1:1">
      <c r="A250">
        <v>65940</v>
      </c>
    </row>
    <row r="251" spans="1:1">
      <c r="A251">
        <v>41400</v>
      </c>
    </row>
    <row r="252" spans="1:1">
      <c r="A252">
        <v>101790</v>
      </c>
    </row>
    <row r="253" spans="1:1">
      <c r="A253">
        <v>109180</v>
      </c>
    </row>
    <row r="254" spans="1:1">
      <c r="A254">
        <v>5460</v>
      </c>
    </row>
    <row r="255" spans="1:1">
      <c r="A255">
        <v>38800</v>
      </c>
    </row>
    <row r="256" spans="1:1">
      <c r="A256">
        <v>49300</v>
      </c>
    </row>
    <row r="257" spans="1:1">
      <c r="A257">
        <v>157500</v>
      </c>
    </row>
    <row r="258" spans="1:1">
      <c r="A258">
        <v>63220</v>
      </c>
    </row>
    <row r="259" spans="1:1">
      <c r="A259">
        <v>63700</v>
      </c>
    </row>
    <row r="260" spans="1:1">
      <c r="A260">
        <v>36400</v>
      </c>
    </row>
    <row r="261" spans="1:1">
      <c r="A261">
        <v>73530</v>
      </c>
    </row>
    <row r="262" spans="1:1">
      <c r="A262">
        <v>21060</v>
      </c>
    </row>
    <row r="263" spans="1:1">
      <c r="A263">
        <v>138000</v>
      </c>
    </row>
    <row r="264" spans="1:1">
      <c r="A264">
        <v>16100</v>
      </c>
    </row>
    <row r="265" spans="1:1">
      <c r="A265">
        <v>103500</v>
      </c>
    </row>
    <row r="266" spans="1:1">
      <c r="A266">
        <v>63180</v>
      </c>
    </row>
    <row r="267" spans="1:1">
      <c r="A267">
        <v>198750</v>
      </c>
    </row>
    <row r="268" spans="1:1">
      <c r="A268">
        <v>59850</v>
      </c>
    </row>
    <row r="269" spans="1:1">
      <c r="A269">
        <v>37700</v>
      </c>
    </row>
    <row r="270" spans="1:1">
      <c r="A270">
        <v>15260</v>
      </c>
    </row>
    <row r="271" spans="1:1">
      <c r="A271">
        <v>69080</v>
      </c>
    </row>
    <row r="272" spans="1:1">
      <c r="A272">
        <v>3750</v>
      </c>
    </row>
    <row r="273" spans="1:1">
      <c r="A273">
        <v>2060</v>
      </c>
    </row>
    <row r="274" spans="1:1">
      <c r="A274">
        <v>34920</v>
      </c>
    </row>
    <row r="275" spans="1:1">
      <c r="A275">
        <v>40820</v>
      </c>
    </row>
    <row r="276" spans="1:1">
      <c r="A276">
        <v>62800</v>
      </c>
    </row>
    <row r="277" spans="1:1">
      <c r="A277">
        <v>11600</v>
      </c>
    </row>
    <row r="278" spans="1:1">
      <c r="A278">
        <v>17550</v>
      </c>
    </row>
    <row r="279" spans="1:1">
      <c r="A279">
        <v>142080</v>
      </c>
    </row>
    <row r="280" spans="1:1">
      <c r="A280">
        <v>37910</v>
      </c>
    </row>
    <row r="281" spans="1:1">
      <c r="A281">
        <v>129580</v>
      </c>
    </row>
    <row r="282" spans="1:1">
      <c r="A282">
        <v>223820</v>
      </c>
    </row>
    <row r="283" spans="1:1">
      <c r="A283">
        <v>153600</v>
      </c>
    </row>
    <row r="284" spans="1:1">
      <c r="A284">
        <v>86420</v>
      </c>
    </row>
    <row r="285" spans="1:1">
      <c r="A285">
        <v>100350</v>
      </c>
    </row>
    <row r="286" spans="1:1">
      <c r="A286">
        <v>29800</v>
      </c>
    </row>
    <row r="287" spans="1:1">
      <c r="A287">
        <v>5940</v>
      </c>
    </row>
    <row r="288" spans="1:1">
      <c r="A288">
        <v>22320</v>
      </c>
    </row>
    <row r="289" spans="1:1">
      <c r="A289">
        <v>28980</v>
      </c>
    </row>
    <row r="290" spans="1:1">
      <c r="A290">
        <v>22300</v>
      </c>
    </row>
    <row r="291" spans="1:1">
      <c r="A291">
        <v>133800</v>
      </c>
    </row>
    <row r="292" spans="1:1">
      <c r="A292">
        <v>79980</v>
      </c>
    </row>
    <row r="293" spans="1:1">
      <c r="A293">
        <v>142920</v>
      </c>
    </row>
    <row r="294" spans="1:1">
      <c r="A294">
        <v>41860</v>
      </c>
    </row>
    <row r="295" spans="1:1">
      <c r="A295">
        <v>67490</v>
      </c>
    </row>
    <row r="296" spans="1:1">
      <c r="A296">
        <v>44700</v>
      </c>
    </row>
    <row r="297" spans="1:1">
      <c r="A297">
        <v>40140</v>
      </c>
    </row>
    <row r="298" spans="1:1">
      <c r="A298">
        <v>8440</v>
      </c>
    </row>
    <row r="299" spans="1:1">
      <c r="A299">
        <v>31650</v>
      </c>
    </row>
    <row r="300" spans="1:1">
      <c r="A300">
        <v>47640</v>
      </c>
    </row>
    <row r="301" spans="1:1">
      <c r="A301">
        <v>57600</v>
      </c>
    </row>
    <row r="302" spans="1:1">
      <c r="A302">
        <v>16740</v>
      </c>
    </row>
    <row r="303" spans="1:1">
      <c r="A303">
        <v>147600</v>
      </c>
    </row>
    <row r="304" spans="1:1">
      <c r="A304">
        <v>37200</v>
      </c>
    </row>
    <row r="305" spans="1:1">
      <c r="A305">
        <v>89200</v>
      </c>
    </row>
    <row r="306" spans="1:1">
      <c r="A306">
        <v>104940</v>
      </c>
    </row>
    <row r="307" spans="1:1">
      <c r="A307">
        <v>13020</v>
      </c>
    </row>
    <row r="308" spans="1:1">
      <c r="A308">
        <v>113730</v>
      </c>
    </row>
    <row r="309" spans="1:1">
      <c r="A309">
        <v>106020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AB63-E08D-4B8A-9F60-E5070E250882}">
  <dimension ref="A1:B15"/>
  <sheetViews>
    <sheetView workbookViewId="0">
      <selection sqref="A1:B15"/>
    </sheetView>
  </sheetViews>
  <sheetFormatPr baseColWidth="10" defaultRowHeight="14.4"/>
  <sheetData>
    <row r="1" spans="1:2">
      <c r="A1" s="6" t="s">
        <v>13</v>
      </c>
      <c r="B1" s="6"/>
    </row>
    <row r="3" spans="1:2">
      <c r="A3" t="s">
        <v>14</v>
      </c>
      <c r="B3">
        <v>66572.142857142855</v>
      </c>
    </row>
    <row r="4" spans="1:2">
      <c r="A4" t="s">
        <v>15</v>
      </c>
      <c r="B4">
        <v>3996.3181730916331</v>
      </c>
    </row>
    <row r="5" spans="1:2">
      <c r="A5" t="s">
        <v>16</v>
      </c>
      <c r="B5">
        <v>41630</v>
      </c>
    </row>
    <row r="6" spans="1:2">
      <c r="A6" t="s">
        <v>17</v>
      </c>
      <c r="B6">
        <v>44660</v>
      </c>
    </row>
    <row r="7" spans="1:2">
      <c r="A7" t="s">
        <v>18</v>
      </c>
      <c r="B7">
        <v>70135.099299134061</v>
      </c>
    </row>
    <row r="8" spans="1:2">
      <c r="A8" t="s">
        <v>19</v>
      </c>
      <c r="B8">
        <v>4918932153.6993952</v>
      </c>
    </row>
    <row r="9" spans="1:2">
      <c r="A9" t="s">
        <v>20</v>
      </c>
      <c r="B9">
        <v>13.225330869104409</v>
      </c>
    </row>
    <row r="10" spans="1:2">
      <c r="A10" t="s">
        <v>21</v>
      </c>
      <c r="B10">
        <v>2.9295323100551247</v>
      </c>
    </row>
    <row r="11" spans="1:2">
      <c r="A11" t="s">
        <v>22</v>
      </c>
      <c r="B11">
        <v>573260</v>
      </c>
    </row>
    <row r="12" spans="1:2">
      <c r="A12" t="s">
        <v>23</v>
      </c>
      <c r="B12">
        <v>1300</v>
      </c>
    </row>
    <row r="13" spans="1:2">
      <c r="A13" t="s">
        <v>24</v>
      </c>
      <c r="B13">
        <v>574560</v>
      </c>
    </row>
    <row r="14" spans="1:2">
      <c r="A14" t="s">
        <v>25</v>
      </c>
      <c r="B14">
        <v>20504220</v>
      </c>
    </row>
    <row r="15" spans="1:2" ht="15" thickBot="1">
      <c r="A15" s="4" t="s">
        <v>26</v>
      </c>
      <c r="B15" s="4">
        <v>308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D3FD-107A-4356-95BE-2F9A9E128EC9}">
  <sheetPr codeName="Hoja4"/>
  <dimension ref="A1:C11"/>
  <sheetViews>
    <sheetView workbookViewId="0"/>
  </sheetViews>
  <sheetFormatPr baseColWidth="10" defaultRowHeight="14.4"/>
  <cols>
    <col min="1" max="1" width="16.5546875" bestFit="1" customWidth="1"/>
    <col min="2" max="2" width="11.109375" bestFit="1" customWidth="1"/>
    <col min="3" max="3" width="11.33203125" bestFit="1" customWidth="1"/>
    <col min="4" max="12" width="21.21875" bestFit="1" customWidth="1"/>
  </cols>
  <sheetData>
    <row r="1" spans="1:3">
      <c r="A1" s="1" t="s">
        <v>10</v>
      </c>
      <c r="B1" t="s">
        <v>11</v>
      </c>
      <c r="C1" t="s">
        <v>12</v>
      </c>
    </row>
    <row r="2" spans="1:3">
      <c r="A2" s="2" t="s">
        <v>2</v>
      </c>
      <c r="B2" s="3">
        <v>1640700</v>
      </c>
      <c r="C2">
        <v>534250</v>
      </c>
    </row>
    <row r="3" spans="1:3">
      <c r="A3" s="2" t="s">
        <v>3</v>
      </c>
      <c r="B3" s="3">
        <v>2938060</v>
      </c>
      <c r="C3">
        <v>940120</v>
      </c>
    </row>
    <row r="4" spans="1:3">
      <c r="A4" s="2" t="s">
        <v>6</v>
      </c>
      <c r="B4" s="3">
        <v>2524670</v>
      </c>
      <c r="C4">
        <v>771870</v>
      </c>
    </row>
    <row r="5" spans="1:3">
      <c r="A5" s="2" t="s">
        <v>0</v>
      </c>
      <c r="B5" s="3">
        <v>1934690</v>
      </c>
      <c r="C5">
        <v>634300</v>
      </c>
    </row>
    <row r="6" spans="1:3">
      <c r="A6" s="2" t="s">
        <v>7</v>
      </c>
      <c r="B6" s="3">
        <v>2961130</v>
      </c>
      <c r="C6">
        <v>989290</v>
      </c>
    </row>
    <row r="7" spans="1:3">
      <c r="A7" s="2" t="s">
        <v>5</v>
      </c>
      <c r="B7" s="3">
        <v>2452800</v>
      </c>
      <c r="C7">
        <v>758720</v>
      </c>
    </row>
    <row r="8" spans="1:3">
      <c r="A8" s="2" t="s">
        <v>4</v>
      </c>
      <c r="B8" s="3">
        <v>1868060</v>
      </c>
      <c r="C8">
        <v>622960</v>
      </c>
    </row>
    <row r="9" spans="1:3">
      <c r="A9" s="2" t="s">
        <v>1</v>
      </c>
      <c r="B9" s="3">
        <v>1876340</v>
      </c>
      <c r="C9">
        <v>686190</v>
      </c>
    </row>
    <row r="10" spans="1:3">
      <c r="A10" s="2" t="s">
        <v>8</v>
      </c>
      <c r="B10" s="3">
        <v>2307770</v>
      </c>
      <c r="C10">
        <v>742180</v>
      </c>
    </row>
    <row r="11" spans="1:3">
      <c r="A11" s="2" t="s">
        <v>9</v>
      </c>
      <c r="B11" s="3">
        <v>20504220</v>
      </c>
      <c r="C11">
        <v>6679880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E677-4CD7-4989-89B4-FB16966BA538}">
  <dimension ref="A1:H311"/>
  <sheetViews>
    <sheetView workbookViewId="0"/>
  </sheetViews>
  <sheetFormatPr baseColWidth="10" defaultRowHeight="14.4"/>
  <cols>
    <col min="1" max="1" width="17.109375" bestFit="1" customWidth="1"/>
    <col min="2" max="2" width="14.77734375" bestFit="1" customWidth="1"/>
    <col min="3" max="3" width="18.44140625" bestFit="1" customWidth="1"/>
    <col min="4" max="4" width="20" bestFit="1" customWidth="1"/>
    <col min="5" max="5" width="17.44140625" bestFit="1" customWidth="1"/>
    <col min="6" max="6" width="22.6640625" bestFit="1" customWidth="1"/>
    <col min="7" max="7" width="22.109375" bestFit="1" customWidth="1"/>
    <col min="8" max="8" width="16.44140625" bestFit="1" customWidth="1"/>
  </cols>
  <sheetData>
    <row r="1" spans="1:8">
      <c r="A1" s="19" t="s">
        <v>388</v>
      </c>
    </row>
    <row r="3" spans="1:8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</row>
    <row r="4" spans="1:8">
      <c r="A4" t="s">
        <v>60</v>
      </c>
      <c r="B4" s="18">
        <v>46023</v>
      </c>
      <c r="C4" t="s">
        <v>61</v>
      </c>
      <c r="D4" t="s">
        <v>62</v>
      </c>
      <c r="E4">
        <v>32</v>
      </c>
      <c r="F4">
        <v>3100</v>
      </c>
      <c r="G4">
        <v>2000</v>
      </c>
      <c r="H4">
        <v>99200</v>
      </c>
    </row>
    <row r="5" spans="1:8">
      <c r="A5" t="s">
        <v>63</v>
      </c>
      <c r="B5" s="18">
        <v>46024</v>
      </c>
      <c r="C5" t="s">
        <v>64</v>
      </c>
      <c r="D5" t="s">
        <v>65</v>
      </c>
      <c r="E5">
        <v>10</v>
      </c>
      <c r="F5">
        <v>9500</v>
      </c>
      <c r="G5">
        <v>7000</v>
      </c>
      <c r="H5">
        <v>95000</v>
      </c>
    </row>
    <row r="6" spans="1:8">
      <c r="A6" t="s">
        <v>66</v>
      </c>
      <c r="B6" s="18">
        <v>46024</v>
      </c>
      <c r="C6" t="s">
        <v>64</v>
      </c>
      <c r="D6" t="s">
        <v>67</v>
      </c>
      <c r="E6">
        <v>5</v>
      </c>
      <c r="F6">
        <v>3200</v>
      </c>
      <c r="G6">
        <v>2300</v>
      </c>
      <c r="H6">
        <v>16000</v>
      </c>
    </row>
    <row r="7" spans="1:8">
      <c r="A7" t="s">
        <v>68</v>
      </c>
      <c r="B7" s="18">
        <v>46027</v>
      </c>
      <c r="C7" t="s">
        <v>69</v>
      </c>
      <c r="D7" t="s">
        <v>70</v>
      </c>
      <c r="E7">
        <v>48</v>
      </c>
      <c r="F7">
        <v>1900</v>
      </c>
      <c r="G7">
        <v>1100</v>
      </c>
      <c r="H7">
        <v>91200</v>
      </c>
    </row>
    <row r="8" spans="1:8">
      <c r="A8" t="s">
        <v>71</v>
      </c>
      <c r="B8" s="18">
        <v>46030</v>
      </c>
      <c r="C8" t="s">
        <v>72</v>
      </c>
      <c r="D8" t="s">
        <v>73</v>
      </c>
      <c r="E8">
        <v>8</v>
      </c>
      <c r="F8">
        <v>1500</v>
      </c>
      <c r="G8">
        <v>950</v>
      </c>
      <c r="H8">
        <v>12000</v>
      </c>
    </row>
    <row r="9" spans="1:8">
      <c r="A9" t="s">
        <v>74</v>
      </c>
      <c r="B9" s="18">
        <v>46033</v>
      </c>
      <c r="C9" t="s">
        <v>72</v>
      </c>
      <c r="D9" t="s">
        <v>75</v>
      </c>
      <c r="E9">
        <v>1</v>
      </c>
      <c r="F9">
        <v>1300</v>
      </c>
      <c r="G9">
        <v>700</v>
      </c>
      <c r="H9">
        <v>1300</v>
      </c>
    </row>
    <row r="10" spans="1:8">
      <c r="A10" t="s">
        <v>76</v>
      </c>
      <c r="B10" s="18">
        <v>46033</v>
      </c>
      <c r="C10" t="s">
        <v>64</v>
      </c>
      <c r="D10" t="s">
        <v>77</v>
      </c>
      <c r="E10">
        <v>2</v>
      </c>
      <c r="F10">
        <v>1600</v>
      </c>
      <c r="G10">
        <v>1150</v>
      </c>
      <c r="H10">
        <v>3200</v>
      </c>
    </row>
    <row r="11" spans="1:8">
      <c r="A11" t="s">
        <v>78</v>
      </c>
      <c r="B11" s="18">
        <v>46034</v>
      </c>
      <c r="C11" t="s">
        <v>72</v>
      </c>
      <c r="D11" t="s">
        <v>70</v>
      </c>
      <c r="E11">
        <v>1</v>
      </c>
      <c r="F11">
        <v>1900</v>
      </c>
      <c r="G11">
        <v>1100</v>
      </c>
      <c r="H11">
        <v>1900</v>
      </c>
    </row>
    <row r="12" spans="1:8">
      <c r="A12" t="s">
        <v>79</v>
      </c>
      <c r="B12" s="18">
        <v>46035</v>
      </c>
      <c r="C12" t="s">
        <v>80</v>
      </c>
      <c r="D12" t="s">
        <v>65</v>
      </c>
      <c r="E12">
        <v>11</v>
      </c>
      <c r="F12">
        <v>9500</v>
      </c>
      <c r="G12">
        <v>7000</v>
      </c>
      <c r="H12">
        <v>104500</v>
      </c>
    </row>
    <row r="13" spans="1:8">
      <c r="A13" t="s">
        <v>81</v>
      </c>
      <c r="B13" s="18">
        <v>46035</v>
      </c>
      <c r="C13" t="s">
        <v>82</v>
      </c>
      <c r="D13" t="s">
        <v>83</v>
      </c>
      <c r="E13">
        <v>16</v>
      </c>
      <c r="F13">
        <v>2400</v>
      </c>
      <c r="G13">
        <v>1500</v>
      </c>
      <c r="H13">
        <v>38400</v>
      </c>
    </row>
    <row r="14" spans="1:8">
      <c r="A14" t="s">
        <v>84</v>
      </c>
      <c r="B14" s="18">
        <v>46036</v>
      </c>
      <c r="C14" t="s">
        <v>72</v>
      </c>
      <c r="D14" t="s">
        <v>77</v>
      </c>
      <c r="E14">
        <v>19</v>
      </c>
      <c r="F14">
        <v>1600</v>
      </c>
      <c r="G14">
        <v>1150</v>
      </c>
      <c r="H14">
        <v>30400</v>
      </c>
    </row>
    <row r="15" spans="1:8">
      <c r="A15" t="s">
        <v>85</v>
      </c>
      <c r="B15" s="18">
        <v>46036</v>
      </c>
      <c r="C15" t="s">
        <v>86</v>
      </c>
      <c r="D15" t="s">
        <v>87</v>
      </c>
      <c r="E15">
        <v>32</v>
      </c>
      <c r="F15">
        <v>2600</v>
      </c>
      <c r="G15">
        <v>1800</v>
      </c>
      <c r="H15">
        <v>83200</v>
      </c>
    </row>
    <row r="16" spans="1:8">
      <c r="A16" t="s">
        <v>88</v>
      </c>
      <c r="B16" s="18">
        <v>46036</v>
      </c>
      <c r="C16" t="s">
        <v>64</v>
      </c>
      <c r="D16" t="s">
        <v>77</v>
      </c>
      <c r="E16">
        <v>13</v>
      </c>
      <c r="F16">
        <v>1600</v>
      </c>
      <c r="G16">
        <v>1150</v>
      </c>
      <c r="H16">
        <v>20800</v>
      </c>
    </row>
    <row r="17" spans="1:8">
      <c r="A17" t="s">
        <v>89</v>
      </c>
      <c r="B17" s="18">
        <v>46039</v>
      </c>
      <c r="C17" t="s">
        <v>82</v>
      </c>
      <c r="D17" t="s">
        <v>73</v>
      </c>
      <c r="E17">
        <v>7</v>
      </c>
      <c r="F17">
        <v>1500</v>
      </c>
      <c r="G17">
        <v>950</v>
      </c>
      <c r="H17">
        <v>10500</v>
      </c>
    </row>
    <row r="18" spans="1:8">
      <c r="A18" t="s">
        <v>90</v>
      </c>
      <c r="B18" s="18">
        <v>46039</v>
      </c>
      <c r="C18" t="s">
        <v>91</v>
      </c>
      <c r="D18" t="s">
        <v>92</v>
      </c>
      <c r="E18">
        <v>22</v>
      </c>
      <c r="F18">
        <v>2900</v>
      </c>
      <c r="G18">
        <v>1900</v>
      </c>
      <c r="H18">
        <v>63800</v>
      </c>
    </row>
    <row r="19" spans="1:8">
      <c r="A19" t="s">
        <v>93</v>
      </c>
      <c r="B19" s="18">
        <v>46040</v>
      </c>
      <c r="C19" t="s">
        <v>91</v>
      </c>
      <c r="D19" t="s">
        <v>65</v>
      </c>
      <c r="E19">
        <v>13</v>
      </c>
      <c r="F19">
        <v>9500</v>
      </c>
      <c r="G19">
        <v>7000</v>
      </c>
      <c r="H19">
        <v>123500</v>
      </c>
    </row>
    <row r="20" spans="1:8">
      <c r="A20" t="s">
        <v>94</v>
      </c>
      <c r="B20" s="18">
        <v>46041</v>
      </c>
      <c r="C20" t="s">
        <v>69</v>
      </c>
      <c r="D20" t="s">
        <v>73</v>
      </c>
      <c r="E20">
        <v>25</v>
      </c>
      <c r="F20">
        <v>1500</v>
      </c>
      <c r="G20">
        <v>950</v>
      </c>
      <c r="H20">
        <v>37500</v>
      </c>
    </row>
    <row r="21" spans="1:8">
      <c r="A21" t="s">
        <v>95</v>
      </c>
      <c r="B21" s="18">
        <v>46042</v>
      </c>
      <c r="C21" t="s">
        <v>86</v>
      </c>
      <c r="D21" t="s">
        <v>77</v>
      </c>
      <c r="E21">
        <v>32</v>
      </c>
      <c r="F21">
        <v>1600</v>
      </c>
      <c r="G21">
        <v>1150</v>
      </c>
      <c r="H21">
        <v>51200</v>
      </c>
    </row>
    <row r="22" spans="1:8">
      <c r="A22" t="s">
        <v>96</v>
      </c>
      <c r="B22" s="18">
        <v>46043</v>
      </c>
      <c r="C22" t="s">
        <v>72</v>
      </c>
      <c r="D22" t="s">
        <v>65</v>
      </c>
      <c r="E22">
        <v>11</v>
      </c>
      <c r="F22">
        <v>9500</v>
      </c>
      <c r="G22">
        <v>7000</v>
      </c>
      <c r="H22">
        <v>104500</v>
      </c>
    </row>
    <row r="23" spans="1:8">
      <c r="A23" t="s">
        <v>97</v>
      </c>
      <c r="B23" s="18">
        <v>46044</v>
      </c>
      <c r="C23" t="s">
        <v>91</v>
      </c>
      <c r="D23" t="s">
        <v>98</v>
      </c>
      <c r="E23">
        <v>32</v>
      </c>
      <c r="F23">
        <v>1700</v>
      </c>
      <c r="G23">
        <v>1050</v>
      </c>
      <c r="H23">
        <v>54400</v>
      </c>
    </row>
    <row r="24" spans="1:8">
      <c r="A24" t="s">
        <v>99</v>
      </c>
      <c r="B24" s="18">
        <v>46045</v>
      </c>
      <c r="C24" t="s">
        <v>64</v>
      </c>
      <c r="D24" t="s">
        <v>75</v>
      </c>
      <c r="E24">
        <v>1</v>
      </c>
      <c r="F24">
        <v>1300</v>
      </c>
      <c r="G24">
        <v>700</v>
      </c>
      <c r="H24">
        <v>1300</v>
      </c>
    </row>
    <row r="25" spans="1:8">
      <c r="A25" t="s">
        <v>100</v>
      </c>
      <c r="B25" s="18">
        <v>46048</v>
      </c>
      <c r="C25" t="s">
        <v>82</v>
      </c>
      <c r="D25" t="s">
        <v>73</v>
      </c>
      <c r="E25">
        <v>8</v>
      </c>
      <c r="F25">
        <v>1500</v>
      </c>
      <c r="G25">
        <v>950</v>
      </c>
      <c r="H25">
        <v>12000</v>
      </c>
    </row>
    <row r="26" spans="1:8">
      <c r="A26" t="s">
        <v>101</v>
      </c>
      <c r="B26" s="18">
        <v>46048</v>
      </c>
      <c r="C26" t="s">
        <v>69</v>
      </c>
      <c r="D26" t="s">
        <v>70</v>
      </c>
      <c r="E26">
        <v>54</v>
      </c>
      <c r="F26">
        <v>1900</v>
      </c>
      <c r="G26">
        <v>1100</v>
      </c>
      <c r="H26">
        <v>102600</v>
      </c>
    </row>
    <row r="27" spans="1:8">
      <c r="A27" t="s">
        <v>102</v>
      </c>
      <c r="B27" s="18">
        <v>46049</v>
      </c>
      <c r="C27" t="s">
        <v>86</v>
      </c>
      <c r="D27" t="s">
        <v>87</v>
      </c>
      <c r="E27">
        <v>32</v>
      </c>
      <c r="F27">
        <v>2600</v>
      </c>
      <c r="G27">
        <v>1800</v>
      </c>
      <c r="H27">
        <v>83200</v>
      </c>
    </row>
    <row r="28" spans="1:8">
      <c r="A28" t="s">
        <v>103</v>
      </c>
      <c r="B28" s="18">
        <v>46049</v>
      </c>
      <c r="C28" t="s">
        <v>91</v>
      </c>
      <c r="D28" t="s">
        <v>83</v>
      </c>
      <c r="E28">
        <v>46</v>
      </c>
      <c r="F28">
        <v>2400</v>
      </c>
      <c r="G28">
        <v>1500</v>
      </c>
      <c r="H28">
        <v>110400</v>
      </c>
    </row>
    <row r="29" spans="1:8">
      <c r="A29" t="s">
        <v>104</v>
      </c>
      <c r="B29" s="18">
        <v>46049</v>
      </c>
      <c r="C29" t="s">
        <v>80</v>
      </c>
      <c r="D29" t="s">
        <v>65</v>
      </c>
      <c r="E29">
        <v>14</v>
      </c>
      <c r="F29">
        <v>9500</v>
      </c>
      <c r="G29">
        <v>7000</v>
      </c>
      <c r="H29">
        <v>133000</v>
      </c>
    </row>
    <row r="30" spans="1:8">
      <c r="A30" t="s">
        <v>105</v>
      </c>
      <c r="B30" s="18">
        <v>46051</v>
      </c>
      <c r="C30" t="s">
        <v>64</v>
      </c>
      <c r="D30" t="s">
        <v>62</v>
      </c>
      <c r="E30">
        <v>12</v>
      </c>
      <c r="F30">
        <v>3100</v>
      </c>
      <c r="G30">
        <v>2000</v>
      </c>
      <c r="H30">
        <v>37200</v>
      </c>
    </row>
    <row r="31" spans="1:8">
      <c r="A31" t="s">
        <v>106</v>
      </c>
      <c r="B31" s="18">
        <v>46053</v>
      </c>
      <c r="C31" t="s">
        <v>61</v>
      </c>
      <c r="D31" t="s">
        <v>73</v>
      </c>
      <c r="E31">
        <v>7</v>
      </c>
      <c r="F31">
        <v>1500</v>
      </c>
      <c r="G31">
        <v>950</v>
      </c>
      <c r="H31">
        <v>10500</v>
      </c>
    </row>
    <row r="32" spans="1:8">
      <c r="A32" t="s">
        <v>107</v>
      </c>
      <c r="B32" s="18">
        <v>46053</v>
      </c>
      <c r="C32" t="s">
        <v>86</v>
      </c>
      <c r="D32" t="s">
        <v>83</v>
      </c>
      <c r="E32">
        <v>45</v>
      </c>
      <c r="F32">
        <v>2400</v>
      </c>
      <c r="G32">
        <v>1500</v>
      </c>
      <c r="H32">
        <v>108000</v>
      </c>
    </row>
    <row r="33" spans="1:8">
      <c r="A33" t="s">
        <v>108</v>
      </c>
      <c r="B33" s="18">
        <v>46054</v>
      </c>
      <c r="C33" t="s">
        <v>91</v>
      </c>
      <c r="D33" t="s">
        <v>109</v>
      </c>
      <c r="E33">
        <v>8</v>
      </c>
      <c r="F33">
        <v>1850</v>
      </c>
      <c r="G33">
        <v>1240</v>
      </c>
      <c r="H33">
        <v>14800</v>
      </c>
    </row>
    <row r="34" spans="1:8">
      <c r="A34" t="s">
        <v>110</v>
      </c>
      <c r="B34" s="18">
        <v>46054</v>
      </c>
      <c r="C34" t="s">
        <v>69</v>
      </c>
      <c r="D34" t="s">
        <v>92</v>
      </c>
      <c r="E34">
        <v>32</v>
      </c>
      <c r="F34">
        <v>2990</v>
      </c>
      <c r="G34">
        <v>1960</v>
      </c>
      <c r="H34">
        <v>95680</v>
      </c>
    </row>
    <row r="35" spans="1:8">
      <c r="A35" t="s">
        <v>111</v>
      </c>
      <c r="B35" s="18">
        <v>46056</v>
      </c>
      <c r="C35" t="s">
        <v>61</v>
      </c>
      <c r="D35" t="s">
        <v>77</v>
      </c>
      <c r="E35">
        <v>50</v>
      </c>
      <c r="F35">
        <v>1650</v>
      </c>
      <c r="G35">
        <v>1180</v>
      </c>
      <c r="H35">
        <v>82500</v>
      </c>
    </row>
    <row r="36" spans="1:8">
      <c r="A36" t="s">
        <v>112</v>
      </c>
      <c r="B36" s="18">
        <v>46057</v>
      </c>
      <c r="C36" t="s">
        <v>61</v>
      </c>
      <c r="D36" t="s">
        <v>92</v>
      </c>
      <c r="E36">
        <v>12</v>
      </c>
      <c r="F36">
        <v>2990</v>
      </c>
      <c r="G36">
        <v>1960</v>
      </c>
      <c r="H36">
        <v>35880</v>
      </c>
    </row>
    <row r="37" spans="1:8">
      <c r="A37" t="s">
        <v>113</v>
      </c>
      <c r="B37" s="18">
        <v>46058</v>
      </c>
      <c r="C37" t="s">
        <v>82</v>
      </c>
      <c r="D37" t="s">
        <v>87</v>
      </c>
      <c r="E37">
        <v>8</v>
      </c>
      <c r="F37">
        <v>2680</v>
      </c>
      <c r="G37">
        <v>1850</v>
      </c>
      <c r="H37">
        <v>21440</v>
      </c>
    </row>
    <row r="38" spans="1:8">
      <c r="A38" t="s">
        <v>114</v>
      </c>
      <c r="B38" s="18">
        <v>46058</v>
      </c>
      <c r="C38" t="s">
        <v>80</v>
      </c>
      <c r="D38" t="s">
        <v>67</v>
      </c>
      <c r="E38">
        <v>16</v>
      </c>
      <c r="F38">
        <v>3300</v>
      </c>
      <c r="G38">
        <v>2370</v>
      </c>
      <c r="H38">
        <v>52800</v>
      </c>
    </row>
    <row r="39" spans="1:8">
      <c r="A39" t="s">
        <v>115</v>
      </c>
      <c r="B39" s="18">
        <v>46058</v>
      </c>
      <c r="C39" t="s">
        <v>61</v>
      </c>
      <c r="D39" t="s">
        <v>62</v>
      </c>
      <c r="E39">
        <v>23</v>
      </c>
      <c r="F39">
        <v>3190</v>
      </c>
      <c r="G39">
        <v>2060</v>
      </c>
      <c r="H39">
        <v>73370</v>
      </c>
    </row>
    <row r="40" spans="1:8">
      <c r="A40" t="s">
        <v>116</v>
      </c>
      <c r="B40" s="18">
        <v>46058</v>
      </c>
      <c r="C40" t="s">
        <v>64</v>
      </c>
      <c r="D40" t="s">
        <v>62</v>
      </c>
      <c r="E40">
        <v>17</v>
      </c>
      <c r="F40">
        <v>3190</v>
      </c>
      <c r="G40">
        <v>2060</v>
      </c>
      <c r="H40">
        <v>54230</v>
      </c>
    </row>
    <row r="41" spans="1:8">
      <c r="A41" t="s">
        <v>117</v>
      </c>
      <c r="B41" s="18">
        <v>46058</v>
      </c>
      <c r="C41" t="s">
        <v>91</v>
      </c>
      <c r="D41" t="s">
        <v>77</v>
      </c>
      <c r="E41">
        <v>25</v>
      </c>
      <c r="F41">
        <v>1650</v>
      </c>
      <c r="G41">
        <v>1180</v>
      </c>
      <c r="H41">
        <v>41250</v>
      </c>
    </row>
    <row r="42" spans="1:8">
      <c r="A42" t="s">
        <v>118</v>
      </c>
      <c r="B42" s="18">
        <v>46058</v>
      </c>
      <c r="C42" t="s">
        <v>82</v>
      </c>
      <c r="D42" t="s">
        <v>109</v>
      </c>
      <c r="E42">
        <v>8</v>
      </c>
      <c r="F42">
        <v>1850</v>
      </c>
      <c r="G42">
        <v>1240</v>
      </c>
      <c r="H42">
        <v>14800</v>
      </c>
    </row>
    <row r="43" spans="1:8">
      <c r="A43" t="s">
        <v>119</v>
      </c>
      <c r="B43" s="18">
        <v>46058</v>
      </c>
      <c r="C43" t="s">
        <v>61</v>
      </c>
      <c r="D43" t="s">
        <v>77</v>
      </c>
      <c r="E43">
        <v>18</v>
      </c>
      <c r="F43">
        <v>1650</v>
      </c>
      <c r="G43">
        <v>1180</v>
      </c>
      <c r="H43">
        <v>29700</v>
      </c>
    </row>
    <row r="44" spans="1:8">
      <c r="A44" t="s">
        <v>120</v>
      </c>
      <c r="B44" s="18">
        <v>46059</v>
      </c>
      <c r="C44" t="s">
        <v>82</v>
      </c>
      <c r="D44" t="s">
        <v>67</v>
      </c>
      <c r="E44">
        <v>10</v>
      </c>
      <c r="F44">
        <v>3300</v>
      </c>
      <c r="G44">
        <v>2370</v>
      </c>
      <c r="H44">
        <v>33000</v>
      </c>
    </row>
    <row r="45" spans="1:8">
      <c r="A45" t="s">
        <v>121</v>
      </c>
      <c r="B45" s="18">
        <v>46060</v>
      </c>
      <c r="C45" t="s">
        <v>82</v>
      </c>
      <c r="D45" t="s">
        <v>75</v>
      </c>
      <c r="E45">
        <v>20</v>
      </c>
      <c r="F45">
        <v>1340</v>
      </c>
      <c r="G45">
        <v>720</v>
      </c>
      <c r="H45">
        <v>26800</v>
      </c>
    </row>
    <row r="46" spans="1:8">
      <c r="A46" t="s">
        <v>122</v>
      </c>
      <c r="B46" s="18">
        <v>46060</v>
      </c>
      <c r="C46" t="s">
        <v>69</v>
      </c>
      <c r="D46" t="s">
        <v>92</v>
      </c>
      <c r="E46">
        <v>45</v>
      </c>
      <c r="F46">
        <v>2990</v>
      </c>
      <c r="G46">
        <v>1960</v>
      </c>
      <c r="H46">
        <v>134550</v>
      </c>
    </row>
    <row r="47" spans="1:8">
      <c r="A47" t="s">
        <v>123</v>
      </c>
      <c r="B47" s="18">
        <v>46060</v>
      </c>
      <c r="C47" t="s">
        <v>82</v>
      </c>
      <c r="D47" t="s">
        <v>67</v>
      </c>
      <c r="E47">
        <v>5</v>
      </c>
      <c r="F47">
        <v>3300</v>
      </c>
      <c r="G47">
        <v>2370</v>
      </c>
      <c r="H47">
        <v>16500</v>
      </c>
    </row>
    <row r="48" spans="1:8">
      <c r="A48" t="s">
        <v>124</v>
      </c>
      <c r="B48" s="18">
        <v>46060</v>
      </c>
      <c r="C48" t="s">
        <v>86</v>
      </c>
      <c r="D48" t="s">
        <v>62</v>
      </c>
      <c r="E48">
        <v>43</v>
      </c>
      <c r="F48">
        <v>3190</v>
      </c>
      <c r="G48">
        <v>2060</v>
      </c>
      <c r="H48">
        <v>137170</v>
      </c>
    </row>
    <row r="49" spans="1:8">
      <c r="A49" t="s">
        <v>125</v>
      </c>
      <c r="B49" s="18">
        <v>46061</v>
      </c>
      <c r="C49" t="s">
        <v>69</v>
      </c>
      <c r="D49" t="s">
        <v>98</v>
      </c>
      <c r="E49">
        <v>11</v>
      </c>
      <c r="F49">
        <v>1750</v>
      </c>
      <c r="G49">
        <v>1080</v>
      </c>
      <c r="H49">
        <v>19250</v>
      </c>
    </row>
    <row r="50" spans="1:8">
      <c r="A50" t="s">
        <v>126</v>
      </c>
      <c r="B50" s="18">
        <v>46061</v>
      </c>
      <c r="C50" t="s">
        <v>80</v>
      </c>
      <c r="D50" t="s">
        <v>109</v>
      </c>
      <c r="E50">
        <v>14</v>
      </c>
      <c r="F50">
        <v>1850</v>
      </c>
      <c r="G50">
        <v>1240</v>
      </c>
      <c r="H50">
        <v>25900</v>
      </c>
    </row>
    <row r="51" spans="1:8">
      <c r="A51" t="s">
        <v>127</v>
      </c>
      <c r="B51" s="18">
        <v>46061</v>
      </c>
      <c r="C51" t="s">
        <v>69</v>
      </c>
      <c r="D51" t="s">
        <v>70</v>
      </c>
      <c r="E51">
        <v>26</v>
      </c>
      <c r="F51">
        <v>1960</v>
      </c>
      <c r="G51">
        <v>1130</v>
      </c>
      <c r="H51">
        <v>50960</v>
      </c>
    </row>
    <row r="52" spans="1:8">
      <c r="A52" t="s">
        <v>128</v>
      </c>
      <c r="B52" s="18">
        <v>46063</v>
      </c>
      <c r="C52" t="s">
        <v>86</v>
      </c>
      <c r="D52" t="s">
        <v>65</v>
      </c>
      <c r="E52">
        <v>36</v>
      </c>
      <c r="F52">
        <v>9780</v>
      </c>
      <c r="G52">
        <v>7210</v>
      </c>
      <c r="H52">
        <v>352080</v>
      </c>
    </row>
    <row r="53" spans="1:8">
      <c r="A53" t="s">
        <v>129</v>
      </c>
      <c r="B53" s="18">
        <v>46063</v>
      </c>
      <c r="C53" t="s">
        <v>72</v>
      </c>
      <c r="D53" t="s">
        <v>77</v>
      </c>
      <c r="E53">
        <v>8</v>
      </c>
      <c r="F53">
        <v>1650</v>
      </c>
      <c r="G53">
        <v>1180</v>
      </c>
      <c r="H53">
        <v>13200</v>
      </c>
    </row>
    <row r="54" spans="1:8">
      <c r="A54" t="s">
        <v>130</v>
      </c>
      <c r="B54" s="18">
        <v>46064</v>
      </c>
      <c r="C54" t="s">
        <v>69</v>
      </c>
      <c r="D54" t="s">
        <v>109</v>
      </c>
      <c r="E54">
        <v>52</v>
      </c>
      <c r="F54">
        <v>1850</v>
      </c>
      <c r="G54">
        <v>1240</v>
      </c>
      <c r="H54">
        <v>96200</v>
      </c>
    </row>
    <row r="55" spans="1:8">
      <c r="A55" t="s">
        <v>131</v>
      </c>
      <c r="B55" s="18">
        <v>46066</v>
      </c>
      <c r="C55" t="s">
        <v>64</v>
      </c>
      <c r="D55" t="s">
        <v>98</v>
      </c>
      <c r="E55">
        <v>20</v>
      </c>
      <c r="F55">
        <v>1750</v>
      </c>
      <c r="G55">
        <v>1080</v>
      </c>
      <c r="H55">
        <v>35000</v>
      </c>
    </row>
    <row r="56" spans="1:8">
      <c r="A56" t="s">
        <v>132</v>
      </c>
      <c r="B56" s="18">
        <v>46067</v>
      </c>
      <c r="C56" t="s">
        <v>64</v>
      </c>
      <c r="D56" t="s">
        <v>75</v>
      </c>
      <c r="E56">
        <v>8</v>
      </c>
      <c r="F56">
        <v>1340</v>
      </c>
      <c r="G56">
        <v>720</v>
      </c>
      <c r="H56">
        <v>10720</v>
      </c>
    </row>
    <row r="57" spans="1:8">
      <c r="A57" t="s">
        <v>133</v>
      </c>
      <c r="B57" s="18">
        <v>46069</v>
      </c>
      <c r="C57" t="s">
        <v>64</v>
      </c>
      <c r="D57" t="s">
        <v>62</v>
      </c>
      <c r="E57">
        <v>14</v>
      </c>
      <c r="F57">
        <v>3190</v>
      </c>
      <c r="G57">
        <v>2060</v>
      </c>
      <c r="H57">
        <v>44660</v>
      </c>
    </row>
    <row r="58" spans="1:8">
      <c r="A58" t="s">
        <v>134</v>
      </c>
      <c r="B58" s="18">
        <v>46069</v>
      </c>
      <c r="C58" t="s">
        <v>72</v>
      </c>
      <c r="D58" t="s">
        <v>109</v>
      </c>
      <c r="E58">
        <v>9</v>
      </c>
      <c r="F58">
        <v>1850</v>
      </c>
      <c r="G58">
        <v>1240</v>
      </c>
      <c r="H58">
        <v>16650</v>
      </c>
    </row>
    <row r="59" spans="1:8">
      <c r="A59" t="s">
        <v>135</v>
      </c>
      <c r="B59" s="18">
        <v>46072</v>
      </c>
      <c r="C59" t="s">
        <v>91</v>
      </c>
      <c r="D59" t="s">
        <v>62</v>
      </c>
      <c r="E59">
        <v>43</v>
      </c>
      <c r="F59">
        <v>3190</v>
      </c>
      <c r="G59">
        <v>2060</v>
      </c>
      <c r="H59">
        <v>137170</v>
      </c>
    </row>
    <row r="60" spans="1:8">
      <c r="A60" t="s">
        <v>136</v>
      </c>
      <c r="B60" s="18">
        <v>46072</v>
      </c>
      <c r="C60" t="s">
        <v>72</v>
      </c>
      <c r="D60" t="s">
        <v>62</v>
      </c>
      <c r="E60">
        <v>14</v>
      </c>
      <c r="F60">
        <v>3190</v>
      </c>
      <c r="G60">
        <v>2060</v>
      </c>
      <c r="H60">
        <v>44660</v>
      </c>
    </row>
    <row r="61" spans="1:8">
      <c r="A61" t="s">
        <v>137</v>
      </c>
      <c r="B61" s="18">
        <v>46073</v>
      </c>
      <c r="C61" t="s">
        <v>82</v>
      </c>
      <c r="D61" t="s">
        <v>92</v>
      </c>
      <c r="E61">
        <v>11</v>
      </c>
      <c r="F61">
        <v>2990</v>
      </c>
      <c r="G61">
        <v>1960</v>
      </c>
      <c r="H61">
        <v>32890</v>
      </c>
    </row>
    <row r="62" spans="1:8">
      <c r="A62" t="s">
        <v>138</v>
      </c>
      <c r="B62" s="18">
        <v>46074</v>
      </c>
      <c r="C62" t="s">
        <v>72</v>
      </c>
      <c r="D62" t="s">
        <v>70</v>
      </c>
      <c r="E62">
        <v>15</v>
      </c>
      <c r="F62">
        <v>1960</v>
      </c>
      <c r="G62">
        <v>1130</v>
      </c>
      <c r="H62">
        <v>29400</v>
      </c>
    </row>
    <row r="63" spans="1:8">
      <c r="A63" t="s">
        <v>139</v>
      </c>
      <c r="B63" s="18">
        <v>46074</v>
      </c>
      <c r="C63" t="s">
        <v>86</v>
      </c>
      <c r="D63" t="s">
        <v>98</v>
      </c>
      <c r="E63">
        <v>18</v>
      </c>
      <c r="F63">
        <v>1750</v>
      </c>
      <c r="G63">
        <v>1080</v>
      </c>
      <c r="H63">
        <v>31500</v>
      </c>
    </row>
    <row r="64" spans="1:8">
      <c r="A64" t="s">
        <v>140</v>
      </c>
      <c r="B64" s="18">
        <v>46074</v>
      </c>
      <c r="C64" t="s">
        <v>69</v>
      </c>
      <c r="D64" t="s">
        <v>67</v>
      </c>
      <c r="E64">
        <v>49</v>
      </c>
      <c r="F64">
        <v>3300</v>
      </c>
      <c r="G64">
        <v>2370</v>
      </c>
      <c r="H64">
        <v>161700</v>
      </c>
    </row>
    <row r="65" spans="1:8">
      <c r="A65" t="s">
        <v>141</v>
      </c>
      <c r="B65" s="18">
        <v>46075</v>
      </c>
      <c r="C65" t="s">
        <v>86</v>
      </c>
      <c r="D65" t="s">
        <v>77</v>
      </c>
      <c r="E65">
        <v>32</v>
      </c>
      <c r="F65">
        <v>1650</v>
      </c>
      <c r="G65">
        <v>1180</v>
      </c>
      <c r="H65">
        <v>52800</v>
      </c>
    </row>
    <row r="66" spans="1:8">
      <c r="A66" t="s">
        <v>142</v>
      </c>
      <c r="B66" s="18">
        <v>46075</v>
      </c>
      <c r="C66" t="s">
        <v>82</v>
      </c>
      <c r="D66" t="s">
        <v>77</v>
      </c>
      <c r="E66">
        <v>10</v>
      </c>
      <c r="F66">
        <v>1650</v>
      </c>
      <c r="G66">
        <v>1180</v>
      </c>
      <c r="H66">
        <v>16500</v>
      </c>
    </row>
    <row r="67" spans="1:8">
      <c r="A67" t="s">
        <v>143</v>
      </c>
      <c r="B67" s="18">
        <v>46076</v>
      </c>
      <c r="C67" t="s">
        <v>80</v>
      </c>
      <c r="D67" t="s">
        <v>62</v>
      </c>
      <c r="E67">
        <v>14</v>
      </c>
      <c r="F67">
        <v>3190</v>
      </c>
      <c r="G67">
        <v>2060</v>
      </c>
      <c r="H67">
        <v>44660</v>
      </c>
    </row>
    <row r="68" spans="1:8">
      <c r="A68" t="s">
        <v>144</v>
      </c>
      <c r="B68" s="18">
        <v>46077</v>
      </c>
      <c r="C68" t="s">
        <v>72</v>
      </c>
      <c r="D68" t="s">
        <v>83</v>
      </c>
      <c r="E68">
        <v>6</v>
      </c>
      <c r="F68">
        <v>2470</v>
      </c>
      <c r="G68">
        <v>1540</v>
      </c>
      <c r="H68">
        <v>14820</v>
      </c>
    </row>
    <row r="69" spans="1:8">
      <c r="A69" t="s">
        <v>145</v>
      </c>
      <c r="B69" s="18">
        <v>46077</v>
      </c>
      <c r="C69" t="s">
        <v>72</v>
      </c>
      <c r="D69" t="s">
        <v>62</v>
      </c>
      <c r="E69">
        <v>15</v>
      </c>
      <c r="F69">
        <v>3190</v>
      </c>
      <c r="G69">
        <v>2060</v>
      </c>
      <c r="H69">
        <v>47850</v>
      </c>
    </row>
    <row r="70" spans="1:8">
      <c r="A70" t="s">
        <v>146</v>
      </c>
      <c r="B70" s="18">
        <v>46078</v>
      </c>
      <c r="C70" t="s">
        <v>61</v>
      </c>
      <c r="D70" t="s">
        <v>83</v>
      </c>
      <c r="E70">
        <v>17</v>
      </c>
      <c r="F70">
        <v>2470</v>
      </c>
      <c r="G70">
        <v>1540</v>
      </c>
      <c r="H70">
        <v>41990</v>
      </c>
    </row>
    <row r="71" spans="1:8">
      <c r="A71" t="s">
        <v>147</v>
      </c>
      <c r="B71" s="18">
        <v>46078</v>
      </c>
      <c r="C71" t="s">
        <v>72</v>
      </c>
      <c r="D71" t="s">
        <v>109</v>
      </c>
      <c r="E71">
        <v>16</v>
      </c>
      <c r="F71">
        <v>1850</v>
      </c>
      <c r="G71">
        <v>1240</v>
      </c>
      <c r="H71">
        <v>29600</v>
      </c>
    </row>
    <row r="72" spans="1:8">
      <c r="A72" t="s">
        <v>148</v>
      </c>
      <c r="B72" s="18">
        <v>46078</v>
      </c>
      <c r="C72" t="s">
        <v>61</v>
      </c>
      <c r="D72" t="s">
        <v>75</v>
      </c>
      <c r="E72">
        <v>6</v>
      </c>
      <c r="F72">
        <v>1340</v>
      </c>
      <c r="G72">
        <v>720</v>
      </c>
      <c r="H72">
        <v>8040</v>
      </c>
    </row>
    <row r="73" spans="1:8">
      <c r="A73" t="s">
        <v>149</v>
      </c>
      <c r="B73" s="18">
        <v>46078</v>
      </c>
      <c r="C73" t="s">
        <v>69</v>
      </c>
      <c r="D73" t="s">
        <v>98</v>
      </c>
      <c r="E73">
        <v>19</v>
      </c>
      <c r="F73">
        <v>1750</v>
      </c>
      <c r="G73">
        <v>1080</v>
      </c>
      <c r="H73">
        <v>33250</v>
      </c>
    </row>
    <row r="74" spans="1:8">
      <c r="A74" t="s">
        <v>150</v>
      </c>
      <c r="B74" s="18">
        <v>46078</v>
      </c>
      <c r="C74" t="s">
        <v>69</v>
      </c>
      <c r="D74" t="s">
        <v>65</v>
      </c>
      <c r="E74">
        <v>33</v>
      </c>
      <c r="F74">
        <v>9780</v>
      </c>
      <c r="G74">
        <v>7210</v>
      </c>
      <c r="H74">
        <v>322740</v>
      </c>
    </row>
    <row r="75" spans="1:8">
      <c r="A75" t="s">
        <v>151</v>
      </c>
      <c r="B75" s="18">
        <v>46079</v>
      </c>
      <c r="C75" t="s">
        <v>80</v>
      </c>
      <c r="D75" t="s">
        <v>87</v>
      </c>
      <c r="E75">
        <v>6</v>
      </c>
      <c r="F75">
        <v>2680</v>
      </c>
      <c r="G75">
        <v>1850</v>
      </c>
      <c r="H75">
        <v>16080</v>
      </c>
    </row>
    <row r="76" spans="1:8">
      <c r="A76" t="s">
        <v>152</v>
      </c>
      <c r="B76" s="18">
        <v>46080</v>
      </c>
      <c r="C76" t="s">
        <v>82</v>
      </c>
      <c r="D76" t="s">
        <v>65</v>
      </c>
      <c r="E76">
        <v>9</v>
      </c>
      <c r="F76">
        <v>9780</v>
      </c>
      <c r="G76">
        <v>7210</v>
      </c>
      <c r="H76">
        <v>88020</v>
      </c>
    </row>
    <row r="77" spans="1:8">
      <c r="A77" t="s">
        <v>153</v>
      </c>
      <c r="B77" s="18">
        <v>46080</v>
      </c>
      <c r="C77" t="s">
        <v>64</v>
      </c>
      <c r="D77" t="s">
        <v>92</v>
      </c>
      <c r="E77">
        <v>6</v>
      </c>
      <c r="F77">
        <v>2990</v>
      </c>
      <c r="G77">
        <v>1960</v>
      </c>
      <c r="H77">
        <v>17940</v>
      </c>
    </row>
    <row r="78" spans="1:8">
      <c r="A78" t="s">
        <v>154</v>
      </c>
      <c r="B78" s="18">
        <v>46081</v>
      </c>
      <c r="C78" t="s">
        <v>64</v>
      </c>
      <c r="D78" t="s">
        <v>87</v>
      </c>
      <c r="E78">
        <v>11</v>
      </c>
      <c r="F78">
        <v>2680</v>
      </c>
      <c r="G78">
        <v>1850</v>
      </c>
      <c r="H78">
        <v>29480</v>
      </c>
    </row>
    <row r="79" spans="1:8">
      <c r="A79" t="s">
        <v>155</v>
      </c>
      <c r="B79" s="18">
        <v>46081</v>
      </c>
      <c r="C79" t="s">
        <v>80</v>
      </c>
      <c r="D79" t="s">
        <v>70</v>
      </c>
      <c r="E79">
        <v>4</v>
      </c>
      <c r="F79">
        <v>1960</v>
      </c>
      <c r="G79">
        <v>1130</v>
      </c>
      <c r="H79">
        <v>7840</v>
      </c>
    </row>
    <row r="80" spans="1:8">
      <c r="A80" t="s">
        <v>156</v>
      </c>
      <c r="B80" s="18">
        <v>46081</v>
      </c>
      <c r="C80" t="s">
        <v>86</v>
      </c>
      <c r="D80" t="s">
        <v>92</v>
      </c>
      <c r="E80">
        <v>36</v>
      </c>
      <c r="F80">
        <v>2990</v>
      </c>
      <c r="G80">
        <v>1960</v>
      </c>
      <c r="H80">
        <v>107640</v>
      </c>
    </row>
    <row r="81" spans="1:8">
      <c r="A81" t="s">
        <v>157</v>
      </c>
      <c r="B81" s="18">
        <v>46081</v>
      </c>
      <c r="C81" t="s">
        <v>69</v>
      </c>
      <c r="D81" t="s">
        <v>73</v>
      </c>
      <c r="E81">
        <v>46</v>
      </c>
      <c r="F81">
        <v>1540</v>
      </c>
      <c r="G81">
        <v>980</v>
      </c>
      <c r="H81">
        <v>70840</v>
      </c>
    </row>
    <row r="82" spans="1:8">
      <c r="A82" t="s">
        <v>158</v>
      </c>
      <c r="B82" s="18">
        <v>46081</v>
      </c>
      <c r="C82" t="s">
        <v>69</v>
      </c>
      <c r="D82" t="s">
        <v>73</v>
      </c>
      <c r="E82">
        <v>14</v>
      </c>
      <c r="F82">
        <v>1540</v>
      </c>
      <c r="G82">
        <v>980</v>
      </c>
      <c r="H82">
        <v>21560</v>
      </c>
    </row>
    <row r="83" spans="1:8">
      <c r="A83" t="s">
        <v>159</v>
      </c>
      <c r="B83" s="18">
        <v>46082</v>
      </c>
      <c r="C83" t="s">
        <v>86</v>
      </c>
      <c r="D83" t="s">
        <v>65</v>
      </c>
      <c r="E83">
        <v>40</v>
      </c>
      <c r="F83">
        <v>10070</v>
      </c>
      <c r="G83">
        <v>7420</v>
      </c>
      <c r="H83">
        <v>402800</v>
      </c>
    </row>
    <row r="84" spans="1:8">
      <c r="A84" t="s">
        <v>160</v>
      </c>
      <c r="B84" s="18">
        <v>46082</v>
      </c>
      <c r="C84" t="s">
        <v>80</v>
      </c>
      <c r="D84" t="s">
        <v>109</v>
      </c>
      <c r="E84">
        <v>2</v>
      </c>
      <c r="F84">
        <v>1910</v>
      </c>
      <c r="G84">
        <v>1270</v>
      </c>
      <c r="H84">
        <v>3820</v>
      </c>
    </row>
    <row r="85" spans="1:8">
      <c r="A85" t="s">
        <v>161</v>
      </c>
      <c r="B85" s="18">
        <v>46084</v>
      </c>
      <c r="C85" t="s">
        <v>61</v>
      </c>
      <c r="D85" t="s">
        <v>62</v>
      </c>
      <c r="E85">
        <v>12</v>
      </c>
      <c r="F85">
        <v>3290</v>
      </c>
      <c r="G85">
        <v>2120</v>
      </c>
      <c r="H85">
        <v>39480</v>
      </c>
    </row>
    <row r="86" spans="1:8">
      <c r="A86" t="s">
        <v>162</v>
      </c>
      <c r="B86" s="18">
        <v>46086</v>
      </c>
      <c r="C86" t="s">
        <v>72</v>
      </c>
      <c r="D86" t="s">
        <v>73</v>
      </c>
      <c r="E86">
        <v>18</v>
      </c>
      <c r="F86">
        <v>1590</v>
      </c>
      <c r="G86">
        <v>1010</v>
      </c>
      <c r="H86">
        <v>28620</v>
      </c>
    </row>
    <row r="87" spans="1:8">
      <c r="A87" t="s">
        <v>163</v>
      </c>
      <c r="B87" s="18">
        <v>46086</v>
      </c>
      <c r="C87" t="s">
        <v>64</v>
      </c>
      <c r="D87" t="s">
        <v>98</v>
      </c>
      <c r="E87">
        <v>10</v>
      </c>
      <c r="F87">
        <v>1800</v>
      </c>
      <c r="G87">
        <v>1110</v>
      </c>
      <c r="H87">
        <v>18000</v>
      </c>
    </row>
    <row r="88" spans="1:8">
      <c r="A88" t="s">
        <v>164</v>
      </c>
      <c r="B88" s="18">
        <v>46086</v>
      </c>
      <c r="C88" t="s">
        <v>69</v>
      </c>
      <c r="D88" t="s">
        <v>62</v>
      </c>
      <c r="E88">
        <v>48</v>
      </c>
      <c r="F88">
        <v>3290</v>
      </c>
      <c r="G88">
        <v>2120</v>
      </c>
      <c r="H88">
        <v>157920</v>
      </c>
    </row>
    <row r="89" spans="1:8">
      <c r="A89" t="s">
        <v>165</v>
      </c>
      <c r="B89" s="18">
        <v>46087</v>
      </c>
      <c r="C89" t="s">
        <v>64</v>
      </c>
      <c r="D89" t="s">
        <v>109</v>
      </c>
      <c r="E89">
        <v>2</v>
      </c>
      <c r="F89">
        <v>1910</v>
      </c>
      <c r="G89">
        <v>1270</v>
      </c>
      <c r="H89">
        <v>3820</v>
      </c>
    </row>
    <row r="90" spans="1:8">
      <c r="A90" t="s">
        <v>166</v>
      </c>
      <c r="B90" s="18">
        <v>46089</v>
      </c>
      <c r="C90" t="s">
        <v>64</v>
      </c>
      <c r="D90" t="s">
        <v>67</v>
      </c>
      <c r="E90">
        <v>15</v>
      </c>
      <c r="F90">
        <v>3390</v>
      </c>
      <c r="G90">
        <v>2440</v>
      </c>
      <c r="H90">
        <v>50850</v>
      </c>
    </row>
    <row r="91" spans="1:8">
      <c r="A91" t="s">
        <v>167</v>
      </c>
      <c r="B91" s="18">
        <v>46090</v>
      </c>
      <c r="C91" t="s">
        <v>69</v>
      </c>
      <c r="D91" t="s">
        <v>83</v>
      </c>
      <c r="E91">
        <v>55</v>
      </c>
      <c r="F91">
        <v>2540</v>
      </c>
      <c r="G91">
        <v>1590</v>
      </c>
      <c r="H91">
        <v>139700</v>
      </c>
    </row>
    <row r="92" spans="1:8">
      <c r="A92" t="s">
        <v>168</v>
      </c>
      <c r="B92" s="18">
        <v>46090</v>
      </c>
      <c r="C92" t="s">
        <v>64</v>
      </c>
      <c r="D92" t="s">
        <v>75</v>
      </c>
      <c r="E92">
        <v>11</v>
      </c>
      <c r="F92">
        <v>1380</v>
      </c>
      <c r="G92">
        <v>740</v>
      </c>
      <c r="H92">
        <v>15180</v>
      </c>
    </row>
    <row r="93" spans="1:8">
      <c r="A93" t="s">
        <v>169</v>
      </c>
      <c r="B93" s="18">
        <v>46090</v>
      </c>
      <c r="C93" t="s">
        <v>82</v>
      </c>
      <c r="D93" t="s">
        <v>62</v>
      </c>
      <c r="E93">
        <v>8</v>
      </c>
      <c r="F93">
        <v>3290</v>
      </c>
      <c r="G93">
        <v>2120</v>
      </c>
      <c r="H93">
        <v>26320</v>
      </c>
    </row>
    <row r="94" spans="1:8">
      <c r="A94" t="s">
        <v>170</v>
      </c>
      <c r="B94" s="18">
        <v>46092</v>
      </c>
      <c r="C94" t="s">
        <v>69</v>
      </c>
      <c r="D94" t="s">
        <v>67</v>
      </c>
      <c r="E94">
        <v>8</v>
      </c>
      <c r="F94">
        <v>3390</v>
      </c>
      <c r="G94">
        <v>2440</v>
      </c>
      <c r="H94">
        <v>27120</v>
      </c>
    </row>
    <row r="95" spans="1:8">
      <c r="A95" t="s">
        <v>171</v>
      </c>
      <c r="B95" s="18">
        <v>46094</v>
      </c>
      <c r="C95" t="s">
        <v>61</v>
      </c>
      <c r="D95" t="s">
        <v>65</v>
      </c>
      <c r="E95">
        <v>40</v>
      </c>
      <c r="F95">
        <v>10070</v>
      </c>
      <c r="G95">
        <v>7420</v>
      </c>
      <c r="H95">
        <v>402800</v>
      </c>
    </row>
    <row r="96" spans="1:8">
      <c r="A96" t="s">
        <v>172</v>
      </c>
      <c r="B96" s="18">
        <v>46096</v>
      </c>
      <c r="C96" t="s">
        <v>72</v>
      </c>
      <c r="D96" t="s">
        <v>87</v>
      </c>
      <c r="E96">
        <v>5</v>
      </c>
      <c r="F96">
        <v>2760</v>
      </c>
      <c r="G96">
        <v>1910</v>
      </c>
      <c r="H96">
        <v>13800</v>
      </c>
    </row>
    <row r="97" spans="1:8">
      <c r="A97" t="s">
        <v>173</v>
      </c>
      <c r="B97" s="18">
        <v>46097</v>
      </c>
      <c r="C97" t="s">
        <v>72</v>
      </c>
      <c r="D97" t="s">
        <v>83</v>
      </c>
      <c r="E97">
        <v>20</v>
      </c>
      <c r="F97">
        <v>2540</v>
      </c>
      <c r="G97">
        <v>1590</v>
      </c>
      <c r="H97">
        <v>50800</v>
      </c>
    </row>
    <row r="98" spans="1:8">
      <c r="A98" t="s">
        <v>174</v>
      </c>
      <c r="B98" s="18">
        <v>46098</v>
      </c>
      <c r="C98" t="s">
        <v>72</v>
      </c>
      <c r="D98" t="s">
        <v>67</v>
      </c>
      <c r="E98">
        <v>2</v>
      </c>
      <c r="F98">
        <v>3390</v>
      </c>
      <c r="G98">
        <v>2440</v>
      </c>
      <c r="H98">
        <v>6780</v>
      </c>
    </row>
    <row r="99" spans="1:8">
      <c r="A99" t="s">
        <v>175</v>
      </c>
      <c r="B99" s="18">
        <v>46098</v>
      </c>
      <c r="C99" t="s">
        <v>86</v>
      </c>
      <c r="D99" t="s">
        <v>67</v>
      </c>
      <c r="E99">
        <v>22</v>
      </c>
      <c r="F99">
        <v>3390</v>
      </c>
      <c r="G99">
        <v>2440</v>
      </c>
      <c r="H99">
        <v>74580</v>
      </c>
    </row>
    <row r="100" spans="1:8">
      <c r="A100" t="s">
        <v>176</v>
      </c>
      <c r="B100" s="18">
        <v>46099</v>
      </c>
      <c r="C100" t="s">
        <v>82</v>
      </c>
      <c r="D100" t="s">
        <v>62</v>
      </c>
      <c r="E100">
        <v>19</v>
      </c>
      <c r="F100">
        <v>3290</v>
      </c>
      <c r="G100">
        <v>2120</v>
      </c>
      <c r="H100">
        <v>62510</v>
      </c>
    </row>
    <row r="101" spans="1:8">
      <c r="A101" t="s">
        <v>177</v>
      </c>
      <c r="B101" s="18">
        <v>46101</v>
      </c>
      <c r="C101" t="s">
        <v>72</v>
      </c>
      <c r="D101" t="s">
        <v>67</v>
      </c>
      <c r="E101">
        <v>17</v>
      </c>
      <c r="F101">
        <v>3390</v>
      </c>
      <c r="G101">
        <v>2440</v>
      </c>
      <c r="H101">
        <v>57630</v>
      </c>
    </row>
    <row r="102" spans="1:8">
      <c r="A102" t="s">
        <v>178</v>
      </c>
      <c r="B102" s="18">
        <v>46101</v>
      </c>
      <c r="C102" t="s">
        <v>69</v>
      </c>
      <c r="D102" t="s">
        <v>65</v>
      </c>
      <c r="E102">
        <v>23</v>
      </c>
      <c r="F102">
        <v>10070</v>
      </c>
      <c r="G102">
        <v>7420</v>
      </c>
      <c r="H102">
        <v>231610</v>
      </c>
    </row>
    <row r="103" spans="1:8">
      <c r="A103" t="s">
        <v>179</v>
      </c>
      <c r="B103" s="18">
        <v>46102</v>
      </c>
      <c r="C103" t="s">
        <v>64</v>
      </c>
      <c r="D103" t="s">
        <v>70</v>
      </c>
      <c r="E103">
        <v>20</v>
      </c>
      <c r="F103">
        <v>2010</v>
      </c>
      <c r="G103">
        <v>1170</v>
      </c>
      <c r="H103">
        <v>40200</v>
      </c>
    </row>
    <row r="104" spans="1:8">
      <c r="A104" t="s">
        <v>180</v>
      </c>
      <c r="B104" s="18">
        <v>46103</v>
      </c>
      <c r="C104" t="s">
        <v>69</v>
      </c>
      <c r="D104" t="s">
        <v>98</v>
      </c>
      <c r="E104">
        <v>50</v>
      </c>
      <c r="F104">
        <v>1800</v>
      </c>
      <c r="G104">
        <v>1110</v>
      </c>
      <c r="H104">
        <v>90000</v>
      </c>
    </row>
    <row r="105" spans="1:8">
      <c r="A105" t="s">
        <v>181</v>
      </c>
      <c r="B105" s="18">
        <v>46103</v>
      </c>
      <c r="C105" t="s">
        <v>61</v>
      </c>
      <c r="D105" t="s">
        <v>67</v>
      </c>
      <c r="E105">
        <v>40</v>
      </c>
      <c r="F105">
        <v>3390</v>
      </c>
      <c r="G105">
        <v>2440</v>
      </c>
      <c r="H105">
        <v>135600</v>
      </c>
    </row>
    <row r="106" spans="1:8">
      <c r="A106" t="s">
        <v>182</v>
      </c>
      <c r="B106" s="18">
        <v>46103</v>
      </c>
      <c r="C106" t="s">
        <v>86</v>
      </c>
      <c r="D106" t="s">
        <v>75</v>
      </c>
      <c r="E106">
        <v>27</v>
      </c>
      <c r="F106">
        <v>1380</v>
      </c>
      <c r="G106">
        <v>740</v>
      </c>
      <c r="H106">
        <v>37260</v>
      </c>
    </row>
    <row r="107" spans="1:8">
      <c r="A107" t="s">
        <v>183</v>
      </c>
      <c r="B107" s="18">
        <v>46104</v>
      </c>
      <c r="C107" t="s">
        <v>69</v>
      </c>
      <c r="D107" t="s">
        <v>75</v>
      </c>
      <c r="E107">
        <v>21</v>
      </c>
      <c r="F107">
        <v>1380</v>
      </c>
      <c r="G107">
        <v>740</v>
      </c>
      <c r="H107">
        <v>28980</v>
      </c>
    </row>
    <row r="108" spans="1:8">
      <c r="A108" t="s">
        <v>184</v>
      </c>
      <c r="B108" s="18">
        <v>46105</v>
      </c>
      <c r="C108" t="s">
        <v>82</v>
      </c>
      <c r="D108" t="s">
        <v>77</v>
      </c>
      <c r="E108">
        <v>11</v>
      </c>
      <c r="F108">
        <v>1700</v>
      </c>
      <c r="G108">
        <v>1220</v>
      </c>
      <c r="H108">
        <v>18700</v>
      </c>
    </row>
    <row r="109" spans="1:8">
      <c r="A109" t="s">
        <v>185</v>
      </c>
      <c r="B109" s="18">
        <v>46107</v>
      </c>
      <c r="C109" t="s">
        <v>64</v>
      </c>
      <c r="D109" t="s">
        <v>98</v>
      </c>
      <c r="E109">
        <v>20</v>
      </c>
      <c r="F109">
        <v>1800</v>
      </c>
      <c r="G109">
        <v>1110</v>
      </c>
      <c r="H109">
        <v>36000</v>
      </c>
    </row>
    <row r="110" spans="1:8">
      <c r="A110" t="s">
        <v>186</v>
      </c>
      <c r="B110" s="18">
        <v>46108</v>
      </c>
      <c r="C110" t="s">
        <v>72</v>
      </c>
      <c r="D110" t="s">
        <v>75</v>
      </c>
      <c r="E110">
        <v>16</v>
      </c>
      <c r="F110">
        <v>1380</v>
      </c>
      <c r="G110">
        <v>740</v>
      </c>
      <c r="H110">
        <v>22080</v>
      </c>
    </row>
    <row r="111" spans="1:8">
      <c r="A111" t="s">
        <v>187</v>
      </c>
      <c r="B111" s="18">
        <v>46110</v>
      </c>
      <c r="C111" t="s">
        <v>61</v>
      </c>
      <c r="D111" t="s">
        <v>67</v>
      </c>
      <c r="E111">
        <v>34</v>
      </c>
      <c r="F111">
        <v>3390</v>
      </c>
      <c r="G111">
        <v>2440</v>
      </c>
      <c r="H111">
        <v>115260</v>
      </c>
    </row>
    <row r="112" spans="1:8">
      <c r="A112" t="s">
        <v>188</v>
      </c>
      <c r="B112" s="18">
        <v>46112</v>
      </c>
      <c r="C112" t="s">
        <v>61</v>
      </c>
      <c r="D112" t="s">
        <v>67</v>
      </c>
      <c r="E112">
        <v>55</v>
      </c>
      <c r="F112">
        <v>3390</v>
      </c>
      <c r="G112">
        <v>2440</v>
      </c>
      <c r="H112">
        <v>186450</v>
      </c>
    </row>
    <row r="113" spans="1:8">
      <c r="A113" t="s">
        <v>189</v>
      </c>
      <c r="B113" s="18">
        <v>46117</v>
      </c>
      <c r="C113" t="s">
        <v>61</v>
      </c>
      <c r="D113" t="s">
        <v>83</v>
      </c>
      <c r="E113">
        <v>52</v>
      </c>
      <c r="F113">
        <v>2620</v>
      </c>
      <c r="G113">
        <v>1640</v>
      </c>
      <c r="H113">
        <v>136240</v>
      </c>
    </row>
    <row r="114" spans="1:8">
      <c r="A114" t="s">
        <v>190</v>
      </c>
      <c r="B114" s="18">
        <v>46117</v>
      </c>
      <c r="C114" t="s">
        <v>82</v>
      </c>
      <c r="D114" t="s">
        <v>70</v>
      </c>
      <c r="E114">
        <v>16</v>
      </c>
      <c r="F114">
        <v>2070</v>
      </c>
      <c r="G114">
        <v>1200</v>
      </c>
      <c r="H114">
        <v>33120</v>
      </c>
    </row>
    <row r="115" spans="1:8">
      <c r="A115" t="s">
        <v>191</v>
      </c>
      <c r="B115" s="18">
        <v>46119</v>
      </c>
      <c r="C115" t="s">
        <v>61</v>
      </c>
      <c r="D115" t="s">
        <v>77</v>
      </c>
      <c r="E115">
        <v>29</v>
      </c>
      <c r="F115">
        <v>1740</v>
      </c>
      <c r="G115">
        <v>1250</v>
      </c>
      <c r="H115">
        <v>50460</v>
      </c>
    </row>
    <row r="116" spans="1:8">
      <c r="A116" t="s">
        <v>192</v>
      </c>
      <c r="B116" s="18">
        <v>46120</v>
      </c>
      <c r="C116" t="s">
        <v>64</v>
      </c>
      <c r="D116" t="s">
        <v>109</v>
      </c>
      <c r="E116">
        <v>14</v>
      </c>
      <c r="F116">
        <v>1960</v>
      </c>
      <c r="G116">
        <v>1310</v>
      </c>
      <c r="H116">
        <v>27440</v>
      </c>
    </row>
    <row r="117" spans="1:8">
      <c r="A117" t="s">
        <v>193</v>
      </c>
      <c r="B117" s="18">
        <v>46120</v>
      </c>
      <c r="C117" t="s">
        <v>86</v>
      </c>
      <c r="D117" t="s">
        <v>75</v>
      </c>
      <c r="E117">
        <v>10</v>
      </c>
      <c r="F117">
        <v>1420</v>
      </c>
      <c r="G117">
        <v>760</v>
      </c>
      <c r="H117">
        <v>14200</v>
      </c>
    </row>
    <row r="118" spans="1:8">
      <c r="A118" t="s">
        <v>194</v>
      </c>
      <c r="B118" s="18">
        <v>46121</v>
      </c>
      <c r="C118" t="s">
        <v>72</v>
      </c>
      <c r="D118" t="s">
        <v>62</v>
      </c>
      <c r="E118">
        <v>9</v>
      </c>
      <c r="F118">
        <v>3380</v>
      </c>
      <c r="G118">
        <v>2180</v>
      </c>
      <c r="H118">
        <v>30420</v>
      </c>
    </row>
    <row r="119" spans="1:8">
      <c r="A119" t="s">
        <v>195</v>
      </c>
      <c r="B119" s="18">
        <v>46122</v>
      </c>
      <c r="C119" t="s">
        <v>72</v>
      </c>
      <c r="D119" t="s">
        <v>75</v>
      </c>
      <c r="E119">
        <v>13</v>
      </c>
      <c r="F119">
        <v>1420</v>
      </c>
      <c r="G119">
        <v>760</v>
      </c>
      <c r="H119">
        <v>18460</v>
      </c>
    </row>
    <row r="120" spans="1:8">
      <c r="A120" t="s">
        <v>196</v>
      </c>
      <c r="B120" s="18">
        <v>46125</v>
      </c>
      <c r="C120" t="s">
        <v>64</v>
      </c>
      <c r="D120" t="s">
        <v>92</v>
      </c>
      <c r="E120">
        <v>12</v>
      </c>
      <c r="F120">
        <v>3160</v>
      </c>
      <c r="G120">
        <v>2070</v>
      </c>
      <c r="H120">
        <v>37920</v>
      </c>
    </row>
    <row r="121" spans="1:8">
      <c r="A121" t="s">
        <v>197</v>
      </c>
      <c r="B121" s="18">
        <v>46125</v>
      </c>
      <c r="C121" t="s">
        <v>82</v>
      </c>
      <c r="D121" t="s">
        <v>77</v>
      </c>
      <c r="E121">
        <v>5</v>
      </c>
      <c r="F121">
        <v>1740</v>
      </c>
      <c r="G121">
        <v>1250</v>
      </c>
      <c r="H121">
        <v>8700</v>
      </c>
    </row>
    <row r="122" spans="1:8">
      <c r="A122" t="s">
        <v>198</v>
      </c>
      <c r="B122" s="18">
        <v>46128</v>
      </c>
      <c r="C122" t="s">
        <v>72</v>
      </c>
      <c r="D122" t="s">
        <v>92</v>
      </c>
      <c r="E122">
        <v>19</v>
      </c>
      <c r="F122">
        <v>3160</v>
      </c>
      <c r="G122">
        <v>2070</v>
      </c>
      <c r="H122">
        <v>60040</v>
      </c>
    </row>
    <row r="123" spans="1:8">
      <c r="A123" t="s">
        <v>199</v>
      </c>
      <c r="B123" s="18">
        <v>46130</v>
      </c>
      <c r="C123" t="s">
        <v>64</v>
      </c>
      <c r="D123" t="s">
        <v>65</v>
      </c>
      <c r="E123">
        <v>3</v>
      </c>
      <c r="F123">
        <v>10360</v>
      </c>
      <c r="G123">
        <v>7630</v>
      </c>
      <c r="H123">
        <v>31080</v>
      </c>
    </row>
    <row r="124" spans="1:8">
      <c r="A124" t="s">
        <v>200</v>
      </c>
      <c r="B124" s="18">
        <v>46130</v>
      </c>
      <c r="C124" t="s">
        <v>91</v>
      </c>
      <c r="D124" t="s">
        <v>83</v>
      </c>
      <c r="E124">
        <v>48</v>
      </c>
      <c r="F124">
        <v>2620</v>
      </c>
      <c r="G124">
        <v>1640</v>
      </c>
      <c r="H124">
        <v>125760</v>
      </c>
    </row>
    <row r="125" spans="1:8">
      <c r="A125" t="s">
        <v>201</v>
      </c>
      <c r="B125" s="18">
        <v>46130</v>
      </c>
      <c r="C125" t="s">
        <v>61</v>
      </c>
      <c r="D125" t="s">
        <v>87</v>
      </c>
      <c r="E125">
        <v>11</v>
      </c>
      <c r="F125">
        <v>2830</v>
      </c>
      <c r="G125">
        <v>1960</v>
      </c>
      <c r="H125">
        <v>31130</v>
      </c>
    </row>
    <row r="126" spans="1:8">
      <c r="A126" t="s">
        <v>202</v>
      </c>
      <c r="B126" s="18">
        <v>46131</v>
      </c>
      <c r="C126" t="s">
        <v>91</v>
      </c>
      <c r="D126" t="s">
        <v>70</v>
      </c>
      <c r="E126">
        <v>26</v>
      </c>
      <c r="F126">
        <v>2070</v>
      </c>
      <c r="G126">
        <v>1200</v>
      </c>
      <c r="H126">
        <v>53820</v>
      </c>
    </row>
    <row r="127" spans="1:8">
      <c r="A127" t="s">
        <v>203</v>
      </c>
      <c r="B127" s="18">
        <v>46131</v>
      </c>
      <c r="C127" t="s">
        <v>64</v>
      </c>
      <c r="D127" t="s">
        <v>87</v>
      </c>
      <c r="E127">
        <v>3</v>
      </c>
      <c r="F127">
        <v>2830</v>
      </c>
      <c r="G127">
        <v>1960</v>
      </c>
      <c r="H127">
        <v>8490</v>
      </c>
    </row>
    <row r="128" spans="1:8">
      <c r="A128" t="s">
        <v>204</v>
      </c>
      <c r="B128" s="18">
        <v>46131</v>
      </c>
      <c r="C128" t="s">
        <v>82</v>
      </c>
      <c r="D128" t="s">
        <v>109</v>
      </c>
      <c r="E128">
        <v>11</v>
      </c>
      <c r="F128">
        <v>1960</v>
      </c>
      <c r="G128">
        <v>1310</v>
      </c>
      <c r="H128">
        <v>21560</v>
      </c>
    </row>
    <row r="129" spans="1:8">
      <c r="A129" t="s">
        <v>205</v>
      </c>
      <c r="B129" s="18">
        <v>46132</v>
      </c>
      <c r="C129" t="s">
        <v>72</v>
      </c>
      <c r="D129" t="s">
        <v>109</v>
      </c>
      <c r="E129">
        <v>6</v>
      </c>
      <c r="F129">
        <v>1960</v>
      </c>
      <c r="G129">
        <v>1310</v>
      </c>
      <c r="H129">
        <v>11760</v>
      </c>
    </row>
    <row r="130" spans="1:8">
      <c r="A130" t="s">
        <v>206</v>
      </c>
      <c r="B130" s="18">
        <v>46132</v>
      </c>
      <c r="C130" t="s">
        <v>69</v>
      </c>
      <c r="D130" t="s">
        <v>65</v>
      </c>
      <c r="E130">
        <v>15</v>
      </c>
      <c r="F130">
        <v>10360</v>
      </c>
      <c r="G130">
        <v>7630</v>
      </c>
      <c r="H130">
        <v>155400</v>
      </c>
    </row>
    <row r="131" spans="1:8">
      <c r="A131" t="s">
        <v>207</v>
      </c>
      <c r="B131" s="18">
        <v>46132</v>
      </c>
      <c r="C131" t="s">
        <v>86</v>
      </c>
      <c r="D131" t="s">
        <v>92</v>
      </c>
      <c r="E131">
        <v>31</v>
      </c>
      <c r="F131">
        <v>3160</v>
      </c>
      <c r="G131">
        <v>2070</v>
      </c>
      <c r="H131">
        <v>97960</v>
      </c>
    </row>
    <row r="132" spans="1:8">
      <c r="A132" t="s">
        <v>208</v>
      </c>
      <c r="B132" s="18">
        <v>46134</v>
      </c>
      <c r="C132" t="s">
        <v>82</v>
      </c>
      <c r="D132" t="s">
        <v>77</v>
      </c>
      <c r="E132">
        <v>18</v>
      </c>
      <c r="F132">
        <v>1740</v>
      </c>
      <c r="G132">
        <v>1250</v>
      </c>
      <c r="H132">
        <v>31320</v>
      </c>
    </row>
    <row r="133" spans="1:8">
      <c r="A133" t="s">
        <v>209</v>
      </c>
      <c r="B133" s="18">
        <v>46134</v>
      </c>
      <c r="C133" t="s">
        <v>69</v>
      </c>
      <c r="D133" t="s">
        <v>65</v>
      </c>
      <c r="E133">
        <v>21</v>
      </c>
      <c r="F133">
        <v>10360</v>
      </c>
      <c r="G133">
        <v>7630</v>
      </c>
      <c r="H133">
        <v>217560</v>
      </c>
    </row>
    <row r="134" spans="1:8">
      <c r="A134" t="s">
        <v>210</v>
      </c>
      <c r="B134" s="18">
        <v>46134</v>
      </c>
      <c r="C134" t="s">
        <v>69</v>
      </c>
      <c r="D134" t="s">
        <v>75</v>
      </c>
      <c r="E134">
        <v>20</v>
      </c>
      <c r="F134">
        <v>1420</v>
      </c>
      <c r="G134">
        <v>760</v>
      </c>
      <c r="H134">
        <v>28400</v>
      </c>
    </row>
    <row r="135" spans="1:8">
      <c r="A135" t="s">
        <v>211</v>
      </c>
      <c r="B135" s="18">
        <v>46135</v>
      </c>
      <c r="C135" t="s">
        <v>91</v>
      </c>
      <c r="D135" t="s">
        <v>109</v>
      </c>
      <c r="E135">
        <v>19</v>
      </c>
      <c r="F135">
        <v>1960</v>
      </c>
      <c r="G135">
        <v>1310</v>
      </c>
      <c r="H135">
        <v>37240</v>
      </c>
    </row>
    <row r="136" spans="1:8">
      <c r="A136" t="s">
        <v>212</v>
      </c>
      <c r="B136" s="18">
        <v>46135</v>
      </c>
      <c r="C136" t="s">
        <v>69</v>
      </c>
      <c r="D136" t="s">
        <v>83</v>
      </c>
      <c r="E136">
        <v>22</v>
      </c>
      <c r="F136">
        <v>2620</v>
      </c>
      <c r="G136">
        <v>1640</v>
      </c>
      <c r="H136">
        <v>57640</v>
      </c>
    </row>
    <row r="137" spans="1:8">
      <c r="A137" t="s">
        <v>213</v>
      </c>
      <c r="B137" s="18">
        <v>46136</v>
      </c>
      <c r="C137" t="s">
        <v>61</v>
      </c>
      <c r="D137" t="s">
        <v>75</v>
      </c>
      <c r="E137">
        <v>27</v>
      </c>
      <c r="F137">
        <v>1420</v>
      </c>
      <c r="G137">
        <v>760</v>
      </c>
      <c r="H137">
        <v>38340</v>
      </c>
    </row>
    <row r="138" spans="1:8">
      <c r="A138" t="s">
        <v>214</v>
      </c>
      <c r="B138" s="18">
        <v>46138</v>
      </c>
      <c r="C138" t="s">
        <v>86</v>
      </c>
      <c r="D138" t="s">
        <v>62</v>
      </c>
      <c r="E138">
        <v>6</v>
      </c>
      <c r="F138">
        <v>3380</v>
      </c>
      <c r="G138">
        <v>2180</v>
      </c>
      <c r="H138">
        <v>20280</v>
      </c>
    </row>
    <row r="139" spans="1:8">
      <c r="A139" t="s">
        <v>215</v>
      </c>
      <c r="B139" s="18">
        <v>46138</v>
      </c>
      <c r="C139" t="s">
        <v>80</v>
      </c>
      <c r="D139" t="s">
        <v>70</v>
      </c>
      <c r="E139">
        <v>5</v>
      </c>
      <c r="F139">
        <v>2070</v>
      </c>
      <c r="G139">
        <v>1200</v>
      </c>
      <c r="H139">
        <v>10350</v>
      </c>
    </row>
    <row r="140" spans="1:8">
      <c r="A140" t="s">
        <v>216</v>
      </c>
      <c r="B140" s="18">
        <v>46138</v>
      </c>
      <c r="C140" t="s">
        <v>72</v>
      </c>
      <c r="D140" t="s">
        <v>98</v>
      </c>
      <c r="E140">
        <v>12</v>
      </c>
      <c r="F140">
        <v>1850</v>
      </c>
      <c r="G140">
        <v>1140</v>
      </c>
      <c r="H140">
        <v>22200</v>
      </c>
    </row>
    <row r="141" spans="1:8">
      <c r="A141" t="s">
        <v>217</v>
      </c>
      <c r="B141" s="18">
        <v>46140</v>
      </c>
      <c r="C141" t="s">
        <v>61</v>
      </c>
      <c r="D141" t="s">
        <v>109</v>
      </c>
      <c r="E141">
        <v>9</v>
      </c>
      <c r="F141">
        <v>1960</v>
      </c>
      <c r="G141">
        <v>1310</v>
      </c>
      <c r="H141">
        <v>17640</v>
      </c>
    </row>
    <row r="142" spans="1:8">
      <c r="A142" t="s">
        <v>218</v>
      </c>
      <c r="B142" s="18">
        <v>46140</v>
      </c>
      <c r="C142" t="s">
        <v>91</v>
      </c>
      <c r="D142" t="s">
        <v>83</v>
      </c>
      <c r="E142">
        <v>45</v>
      </c>
      <c r="F142">
        <v>2620</v>
      </c>
      <c r="G142">
        <v>1640</v>
      </c>
      <c r="H142">
        <v>117900</v>
      </c>
    </row>
    <row r="143" spans="1:8">
      <c r="A143" t="s">
        <v>219</v>
      </c>
      <c r="B143" s="18">
        <v>46141</v>
      </c>
      <c r="C143" t="s">
        <v>72</v>
      </c>
      <c r="D143" t="s">
        <v>65</v>
      </c>
      <c r="E143">
        <v>5</v>
      </c>
      <c r="F143">
        <v>10360</v>
      </c>
      <c r="G143">
        <v>7630</v>
      </c>
      <c r="H143">
        <v>51800</v>
      </c>
    </row>
    <row r="144" spans="1:8">
      <c r="A144" t="s">
        <v>220</v>
      </c>
      <c r="B144" s="18">
        <v>46141</v>
      </c>
      <c r="C144" t="s">
        <v>64</v>
      </c>
      <c r="D144" t="s">
        <v>65</v>
      </c>
      <c r="E144">
        <v>10</v>
      </c>
      <c r="F144">
        <v>10360</v>
      </c>
      <c r="G144">
        <v>7630</v>
      </c>
      <c r="H144">
        <v>103600</v>
      </c>
    </row>
    <row r="145" spans="1:8">
      <c r="A145" t="s">
        <v>221</v>
      </c>
      <c r="B145" s="18">
        <v>46142</v>
      </c>
      <c r="C145" t="s">
        <v>82</v>
      </c>
      <c r="D145" t="s">
        <v>98</v>
      </c>
      <c r="E145">
        <v>7</v>
      </c>
      <c r="F145">
        <v>1850</v>
      </c>
      <c r="G145">
        <v>1140</v>
      </c>
      <c r="H145">
        <v>12950</v>
      </c>
    </row>
    <row r="146" spans="1:8">
      <c r="A146" t="s">
        <v>222</v>
      </c>
      <c r="B146" s="18">
        <v>46142</v>
      </c>
      <c r="C146" t="s">
        <v>72</v>
      </c>
      <c r="D146" t="s">
        <v>109</v>
      </c>
      <c r="E146">
        <v>11</v>
      </c>
      <c r="F146">
        <v>1960</v>
      </c>
      <c r="G146">
        <v>1310</v>
      </c>
      <c r="H146">
        <v>21560</v>
      </c>
    </row>
    <row r="147" spans="1:8">
      <c r="A147" t="s">
        <v>223</v>
      </c>
      <c r="B147" s="18">
        <v>46142</v>
      </c>
      <c r="C147" t="s">
        <v>91</v>
      </c>
      <c r="D147" t="s">
        <v>67</v>
      </c>
      <c r="E147">
        <v>55</v>
      </c>
      <c r="F147">
        <v>3490</v>
      </c>
      <c r="G147">
        <v>2510</v>
      </c>
      <c r="H147">
        <v>191950</v>
      </c>
    </row>
    <row r="148" spans="1:8">
      <c r="A148" t="s">
        <v>224</v>
      </c>
      <c r="B148" s="18">
        <v>46143</v>
      </c>
      <c r="C148" t="s">
        <v>64</v>
      </c>
      <c r="D148" t="s">
        <v>83</v>
      </c>
      <c r="E148">
        <v>3</v>
      </c>
      <c r="F148">
        <v>2690</v>
      </c>
      <c r="G148">
        <v>1680</v>
      </c>
      <c r="H148">
        <v>8070</v>
      </c>
    </row>
    <row r="149" spans="1:8">
      <c r="A149" t="s">
        <v>225</v>
      </c>
      <c r="B149" s="18">
        <v>46143</v>
      </c>
      <c r="C149" t="s">
        <v>80</v>
      </c>
      <c r="D149" t="s">
        <v>92</v>
      </c>
      <c r="E149">
        <v>15</v>
      </c>
      <c r="F149">
        <v>3250</v>
      </c>
      <c r="G149">
        <v>2130</v>
      </c>
      <c r="H149">
        <v>48750</v>
      </c>
    </row>
    <row r="150" spans="1:8">
      <c r="A150" t="s">
        <v>226</v>
      </c>
      <c r="B150" s="18">
        <v>46144</v>
      </c>
      <c r="C150" t="s">
        <v>80</v>
      </c>
      <c r="D150" t="s">
        <v>67</v>
      </c>
      <c r="E150">
        <v>14</v>
      </c>
      <c r="F150">
        <v>3580</v>
      </c>
      <c r="G150">
        <v>2580</v>
      </c>
      <c r="H150">
        <v>50120</v>
      </c>
    </row>
    <row r="151" spans="1:8">
      <c r="A151" t="s">
        <v>227</v>
      </c>
      <c r="B151" s="18">
        <v>46145</v>
      </c>
      <c r="C151" t="s">
        <v>64</v>
      </c>
      <c r="D151" t="s">
        <v>75</v>
      </c>
      <c r="E151">
        <v>3</v>
      </c>
      <c r="F151">
        <v>1460</v>
      </c>
      <c r="G151">
        <v>780</v>
      </c>
      <c r="H151">
        <v>4380</v>
      </c>
    </row>
    <row r="152" spans="1:8">
      <c r="A152" t="s">
        <v>228</v>
      </c>
      <c r="B152" s="18">
        <v>46145</v>
      </c>
      <c r="C152" t="s">
        <v>80</v>
      </c>
      <c r="D152" t="s">
        <v>75</v>
      </c>
      <c r="E152">
        <v>4</v>
      </c>
      <c r="F152">
        <v>1460</v>
      </c>
      <c r="G152">
        <v>780</v>
      </c>
      <c r="H152">
        <v>5840</v>
      </c>
    </row>
    <row r="153" spans="1:8">
      <c r="A153" t="s">
        <v>229</v>
      </c>
      <c r="B153" s="18">
        <v>46145</v>
      </c>
      <c r="C153" t="s">
        <v>80</v>
      </c>
      <c r="D153" t="s">
        <v>70</v>
      </c>
      <c r="E153">
        <v>18</v>
      </c>
      <c r="F153">
        <v>2130</v>
      </c>
      <c r="G153">
        <v>1230</v>
      </c>
      <c r="H153">
        <v>38340</v>
      </c>
    </row>
    <row r="154" spans="1:8">
      <c r="A154" t="s">
        <v>230</v>
      </c>
      <c r="B154" s="18">
        <v>46146</v>
      </c>
      <c r="C154" t="s">
        <v>69</v>
      </c>
      <c r="D154" t="s">
        <v>87</v>
      </c>
      <c r="E154">
        <v>50</v>
      </c>
      <c r="F154">
        <v>2910</v>
      </c>
      <c r="G154">
        <v>2020</v>
      </c>
      <c r="H154">
        <v>145500</v>
      </c>
    </row>
    <row r="155" spans="1:8">
      <c r="A155" t="s">
        <v>231</v>
      </c>
      <c r="B155" s="18">
        <v>46147</v>
      </c>
      <c r="C155" t="s">
        <v>80</v>
      </c>
      <c r="D155" t="s">
        <v>87</v>
      </c>
      <c r="E155">
        <v>1</v>
      </c>
      <c r="F155">
        <v>2910</v>
      </c>
      <c r="G155">
        <v>2020</v>
      </c>
      <c r="H155">
        <v>2910</v>
      </c>
    </row>
    <row r="156" spans="1:8">
      <c r="A156" t="s">
        <v>232</v>
      </c>
      <c r="B156" s="18">
        <v>46147</v>
      </c>
      <c r="C156" t="s">
        <v>86</v>
      </c>
      <c r="D156" t="s">
        <v>65</v>
      </c>
      <c r="E156">
        <v>54</v>
      </c>
      <c r="F156">
        <v>10640</v>
      </c>
      <c r="G156">
        <v>7840</v>
      </c>
      <c r="H156">
        <v>574560</v>
      </c>
    </row>
    <row r="157" spans="1:8">
      <c r="A157" t="s">
        <v>233</v>
      </c>
      <c r="B157" s="18">
        <v>46147</v>
      </c>
      <c r="C157" t="s">
        <v>64</v>
      </c>
      <c r="D157" t="s">
        <v>87</v>
      </c>
      <c r="E157">
        <v>19</v>
      </c>
      <c r="F157">
        <v>2910</v>
      </c>
      <c r="G157">
        <v>2020</v>
      </c>
      <c r="H157">
        <v>55290</v>
      </c>
    </row>
    <row r="158" spans="1:8">
      <c r="A158" t="s">
        <v>234</v>
      </c>
      <c r="B158" s="18">
        <v>46147</v>
      </c>
      <c r="C158" t="s">
        <v>80</v>
      </c>
      <c r="D158" t="s">
        <v>77</v>
      </c>
      <c r="E158">
        <v>7</v>
      </c>
      <c r="F158">
        <v>1790</v>
      </c>
      <c r="G158">
        <v>1290</v>
      </c>
      <c r="H158">
        <v>12530</v>
      </c>
    </row>
    <row r="159" spans="1:8">
      <c r="A159" t="s">
        <v>235</v>
      </c>
      <c r="B159" s="18">
        <v>46148</v>
      </c>
      <c r="C159" t="s">
        <v>61</v>
      </c>
      <c r="D159" t="s">
        <v>67</v>
      </c>
      <c r="E159">
        <v>52</v>
      </c>
      <c r="F159">
        <v>3580</v>
      </c>
      <c r="G159">
        <v>2580</v>
      </c>
      <c r="H159">
        <v>186160</v>
      </c>
    </row>
    <row r="160" spans="1:8">
      <c r="A160" t="s">
        <v>236</v>
      </c>
      <c r="B160" s="18">
        <v>46149</v>
      </c>
      <c r="C160" t="s">
        <v>82</v>
      </c>
      <c r="D160" t="s">
        <v>77</v>
      </c>
      <c r="E160">
        <v>3</v>
      </c>
      <c r="F160">
        <v>1790</v>
      </c>
      <c r="G160">
        <v>1290</v>
      </c>
      <c r="H160">
        <v>5370</v>
      </c>
    </row>
    <row r="161" spans="1:8">
      <c r="A161" t="s">
        <v>237</v>
      </c>
      <c r="B161" s="18">
        <v>46149</v>
      </c>
      <c r="C161" t="s">
        <v>64</v>
      </c>
      <c r="D161" t="s">
        <v>98</v>
      </c>
      <c r="E161">
        <v>16</v>
      </c>
      <c r="F161">
        <v>1900</v>
      </c>
      <c r="G161">
        <v>1180</v>
      </c>
      <c r="H161">
        <v>30400</v>
      </c>
    </row>
    <row r="162" spans="1:8">
      <c r="A162" t="s">
        <v>238</v>
      </c>
      <c r="B162" s="18">
        <v>46150</v>
      </c>
      <c r="C162" t="s">
        <v>86</v>
      </c>
      <c r="D162" t="s">
        <v>75</v>
      </c>
      <c r="E162">
        <v>13</v>
      </c>
      <c r="F162">
        <v>1460</v>
      </c>
      <c r="G162">
        <v>780</v>
      </c>
      <c r="H162">
        <v>18980</v>
      </c>
    </row>
    <row r="163" spans="1:8">
      <c r="A163" t="s">
        <v>239</v>
      </c>
      <c r="B163" s="18">
        <v>46151</v>
      </c>
      <c r="C163" t="s">
        <v>82</v>
      </c>
      <c r="D163" t="s">
        <v>73</v>
      </c>
      <c r="E163">
        <v>8</v>
      </c>
      <c r="F163">
        <v>1680</v>
      </c>
      <c r="G163">
        <v>1060</v>
      </c>
      <c r="H163">
        <v>13440</v>
      </c>
    </row>
    <row r="164" spans="1:8">
      <c r="A164" t="s">
        <v>240</v>
      </c>
      <c r="B164" s="18">
        <v>46151</v>
      </c>
      <c r="C164" t="s">
        <v>80</v>
      </c>
      <c r="D164" t="s">
        <v>73</v>
      </c>
      <c r="E164">
        <v>1</v>
      </c>
      <c r="F164">
        <v>1680</v>
      </c>
      <c r="G164">
        <v>1060</v>
      </c>
      <c r="H164">
        <v>1680</v>
      </c>
    </row>
    <row r="165" spans="1:8">
      <c r="A165" t="s">
        <v>241</v>
      </c>
      <c r="B165" s="18">
        <v>46152</v>
      </c>
      <c r="C165" t="s">
        <v>91</v>
      </c>
      <c r="D165" t="s">
        <v>73</v>
      </c>
      <c r="E165">
        <v>54</v>
      </c>
      <c r="F165">
        <v>1680</v>
      </c>
      <c r="G165">
        <v>1060</v>
      </c>
      <c r="H165">
        <v>90720</v>
      </c>
    </row>
    <row r="166" spans="1:8">
      <c r="A166" t="s">
        <v>242</v>
      </c>
      <c r="B166" s="18">
        <v>46153</v>
      </c>
      <c r="C166" t="s">
        <v>69</v>
      </c>
      <c r="D166" t="s">
        <v>70</v>
      </c>
      <c r="E166">
        <v>47</v>
      </c>
      <c r="F166">
        <v>2130</v>
      </c>
      <c r="G166">
        <v>1230</v>
      </c>
      <c r="H166">
        <v>100110</v>
      </c>
    </row>
    <row r="167" spans="1:8">
      <c r="A167" t="s">
        <v>243</v>
      </c>
      <c r="B167" s="18">
        <v>46156</v>
      </c>
      <c r="C167" t="s">
        <v>80</v>
      </c>
      <c r="D167" t="s">
        <v>77</v>
      </c>
      <c r="E167">
        <v>9</v>
      </c>
      <c r="F167">
        <v>1790</v>
      </c>
      <c r="G167">
        <v>1290</v>
      </c>
      <c r="H167">
        <v>16110</v>
      </c>
    </row>
    <row r="168" spans="1:8">
      <c r="A168" t="s">
        <v>244</v>
      </c>
      <c r="B168" s="18">
        <v>46156</v>
      </c>
      <c r="C168" t="s">
        <v>72</v>
      </c>
      <c r="D168" t="s">
        <v>62</v>
      </c>
      <c r="E168">
        <v>7</v>
      </c>
      <c r="F168">
        <v>3470</v>
      </c>
      <c r="G168">
        <v>2240</v>
      </c>
      <c r="H168">
        <v>24290</v>
      </c>
    </row>
    <row r="169" spans="1:8">
      <c r="A169" t="s">
        <v>245</v>
      </c>
      <c r="B169" s="18">
        <v>46157</v>
      </c>
      <c r="C169" t="s">
        <v>72</v>
      </c>
      <c r="D169" t="s">
        <v>77</v>
      </c>
      <c r="E169">
        <v>13</v>
      </c>
      <c r="F169">
        <v>1790</v>
      </c>
      <c r="G169">
        <v>1290</v>
      </c>
      <c r="H169">
        <v>23270</v>
      </c>
    </row>
    <row r="170" spans="1:8">
      <c r="A170" t="s">
        <v>246</v>
      </c>
      <c r="B170" s="18">
        <v>46157</v>
      </c>
      <c r="C170" t="s">
        <v>72</v>
      </c>
      <c r="D170" t="s">
        <v>87</v>
      </c>
      <c r="E170">
        <v>12</v>
      </c>
      <c r="F170">
        <v>2910</v>
      </c>
      <c r="G170">
        <v>2020</v>
      </c>
      <c r="H170">
        <v>34920</v>
      </c>
    </row>
    <row r="171" spans="1:8">
      <c r="A171" t="s">
        <v>247</v>
      </c>
      <c r="B171" s="18">
        <v>46158</v>
      </c>
      <c r="C171" t="s">
        <v>82</v>
      </c>
      <c r="D171" t="s">
        <v>65</v>
      </c>
      <c r="E171">
        <v>15</v>
      </c>
      <c r="F171">
        <v>10640</v>
      </c>
      <c r="G171">
        <v>7840</v>
      </c>
      <c r="H171">
        <v>159600</v>
      </c>
    </row>
    <row r="172" spans="1:8">
      <c r="A172" t="s">
        <v>248</v>
      </c>
      <c r="B172" s="18">
        <v>46158</v>
      </c>
      <c r="C172" t="s">
        <v>69</v>
      </c>
      <c r="D172" t="s">
        <v>70</v>
      </c>
      <c r="E172">
        <v>59</v>
      </c>
      <c r="F172">
        <v>2130</v>
      </c>
      <c r="G172">
        <v>1230</v>
      </c>
      <c r="H172">
        <v>125670</v>
      </c>
    </row>
    <row r="173" spans="1:8">
      <c r="A173" t="s">
        <v>249</v>
      </c>
      <c r="B173" s="18">
        <v>46159</v>
      </c>
      <c r="C173" t="s">
        <v>80</v>
      </c>
      <c r="D173" t="s">
        <v>70</v>
      </c>
      <c r="E173">
        <v>15</v>
      </c>
      <c r="F173">
        <v>2130</v>
      </c>
      <c r="G173">
        <v>1230</v>
      </c>
      <c r="H173">
        <v>31950</v>
      </c>
    </row>
    <row r="174" spans="1:8">
      <c r="A174" t="s">
        <v>250</v>
      </c>
      <c r="B174" s="18">
        <v>46160</v>
      </c>
      <c r="C174" t="s">
        <v>91</v>
      </c>
      <c r="D174" t="s">
        <v>83</v>
      </c>
      <c r="E174">
        <v>58</v>
      </c>
      <c r="F174">
        <v>2690</v>
      </c>
      <c r="G174">
        <v>1680</v>
      </c>
      <c r="H174">
        <v>156020</v>
      </c>
    </row>
    <row r="175" spans="1:8">
      <c r="A175" t="s">
        <v>251</v>
      </c>
      <c r="B175" s="18">
        <v>46161</v>
      </c>
      <c r="C175" t="s">
        <v>69</v>
      </c>
      <c r="D175" t="s">
        <v>75</v>
      </c>
      <c r="E175">
        <v>32</v>
      </c>
      <c r="F175">
        <v>1460</v>
      </c>
      <c r="G175">
        <v>780</v>
      </c>
      <c r="H175">
        <v>46720</v>
      </c>
    </row>
    <row r="176" spans="1:8">
      <c r="A176" t="s">
        <v>252</v>
      </c>
      <c r="B176" s="18">
        <v>46161</v>
      </c>
      <c r="C176" t="s">
        <v>64</v>
      </c>
      <c r="D176" t="s">
        <v>70</v>
      </c>
      <c r="E176">
        <v>8</v>
      </c>
      <c r="F176">
        <v>2130</v>
      </c>
      <c r="G176">
        <v>1230</v>
      </c>
      <c r="H176">
        <v>17040</v>
      </c>
    </row>
    <row r="177" spans="1:8">
      <c r="A177" t="s">
        <v>253</v>
      </c>
      <c r="B177" s="18">
        <v>46164</v>
      </c>
      <c r="C177" t="s">
        <v>82</v>
      </c>
      <c r="D177" t="s">
        <v>109</v>
      </c>
      <c r="E177">
        <v>11</v>
      </c>
      <c r="F177">
        <v>2020</v>
      </c>
      <c r="G177">
        <v>1340</v>
      </c>
      <c r="H177">
        <v>22220</v>
      </c>
    </row>
    <row r="178" spans="1:8">
      <c r="A178" t="s">
        <v>254</v>
      </c>
      <c r="B178" s="18">
        <v>46165</v>
      </c>
      <c r="C178" t="s">
        <v>82</v>
      </c>
      <c r="D178" t="s">
        <v>67</v>
      </c>
      <c r="E178">
        <v>14</v>
      </c>
      <c r="F178">
        <v>3580</v>
      </c>
      <c r="G178">
        <v>2580</v>
      </c>
      <c r="H178">
        <v>50120</v>
      </c>
    </row>
    <row r="179" spans="1:8">
      <c r="A179" t="s">
        <v>255</v>
      </c>
      <c r="B179" s="18">
        <v>46165</v>
      </c>
      <c r="C179" t="s">
        <v>69</v>
      </c>
      <c r="D179" t="s">
        <v>83</v>
      </c>
      <c r="E179">
        <v>39</v>
      </c>
      <c r="F179">
        <v>2690</v>
      </c>
      <c r="G179">
        <v>1680</v>
      </c>
      <c r="H179">
        <v>104910</v>
      </c>
    </row>
    <row r="180" spans="1:8">
      <c r="A180" t="s">
        <v>256</v>
      </c>
      <c r="B180" s="18">
        <v>46165</v>
      </c>
      <c r="C180" t="s">
        <v>69</v>
      </c>
      <c r="D180" t="s">
        <v>83</v>
      </c>
      <c r="E180">
        <v>60</v>
      </c>
      <c r="F180">
        <v>2690</v>
      </c>
      <c r="G180">
        <v>1680</v>
      </c>
      <c r="H180">
        <v>161400</v>
      </c>
    </row>
    <row r="181" spans="1:8">
      <c r="A181" t="s">
        <v>257</v>
      </c>
      <c r="B181" s="18">
        <v>46166</v>
      </c>
      <c r="C181" t="s">
        <v>64</v>
      </c>
      <c r="D181" t="s">
        <v>98</v>
      </c>
      <c r="E181">
        <v>1</v>
      </c>
      <c r="F181">
        <v>1900</v>
      </c>
      <c r="G181">
        <v>1180</v>
      </c>
      <c r="H181">
        <v>1900</v>
      </c>
    </row>
    <row r="182" spans="1:8">
      <c r="A182" t="s">
        <v>258</v>
      </c>
      <c r="B182" s="18">
        <v>46169</v>
      </c>
      <c r="C182" t="s">
        <v>61</v>
      </c>
      <c r="D182" t="s">
        <v>70</v>
      </c>
      <c r="E182">
        <v>26</v>
      </c>
      <c r="F182">
        <v>2130</v>
      </c>
      <c r="G182">
        <v>1230</v>
      </c>
      <c r="H182">
        <v>55380</v>
      </c>
    </row>
    <row r="183" spans="1:8">
      <c r="A183" t="s">
        <v>259</v>
      </c>
      <c r="B183" s="18">
        <v>46170</v>
      </c>
      <c r="C183" t="s">
        <v>69</v>
      </c>
      <c r="D183" t="s">
        <v>73</v>
      </c>
      <c r="E183">
        <v>34</v>
      </c>
      <c r="F183">
        <v>1680</v>
      </c>
      <c r="G183">
        <v>1060</v>
      </c>
      <c r="H183">
        <v>57120</v>
      </c>
    </row>
    <row r="184" spans="1:8">
      <c r="A184" t="s">
        <v>260</v>
      </c>
      <c r="B184" s="18">
        <v>46171</v>
      </c>
      <c r="C184" t="s">
        <v>86</v>
      </c>
      <c r="D184" t="s">
        <v>83</v>
      </c>
      <c r="E184">
        <v>60</v>
      </c>
      <c r="F184">
        <v>2690</v>
      </c>
      <c r="G184">
        <v>1680</v>
      </c>
      <c r="H184">
        <v>161400</v>
      </c>
    </row>
    <row r="185" spans="1:8">
      <c r="A185" t="s">
        <v>261</v>
      </c>
      <c r="B185" s="18">
        <v>46172</v>
      </c>
      <c r="C185" t="s">
        <v>80</v>
      </c>
      <c r="D185" t="s">
        <v>87</v>
      </c>
      <c r="E185">
        <v>16</v>
      </c>
      <c r="F185">
        <v>2910</v>
      </c>
      <c r="G185">
        <v>2020</v>
      </c>
      <c r="H185">
        <v>46560</v>
      </c>
    </row>
    <row r="186" spans="1:8">
      <c r="A186" t="s">
        <v>262</v>
      </c>
      <c r="B186" s="18">
        <v>46173</v>
      </c>
      <c r="C186" t="s">
        <v>91</v>
      </c>
      <c r="D186" t="s">
        <v>77</v>
      </c>
      <c r="E186">
        <v>17</v>
      </c>
      <c r="F186">
        <v>1790</v>
      </c>
      <c r="G186">
        <v>1290</v>
      </c>
      <c r="H186">
        <v>30430</v>
      </c>
    </row>
    <row r="187" spans="1:8">
      <c r="A187" t="s">
        <v>263</v>
      </c>
      <c r="B187" s="18">
        <v>46173</v>
      </c>
      <c r="C187" t="s">
        <v>61</v>
      </c>
      <c r="D187" t="s">
        <v>92</v>
      </c>
      <c r="E187">
        <v>49</v>
      </c>
      <c r="F187">
        <v>3250</v>
      </c>
      <c r="G187">
        <v>2130</v>
      </c>
      <c r="H187">
        <v>159250</v>
      </c>
    </row>
    <row r="188" spans="1:8">
      <c r="A188" t="s">
        <v>264</v>
      </c>
      <c r="B188" s="18">
        <v>46173</v>
      </c>
      <c r="C188" t="s">
        <v>69</v>
      </c>
      <c r="D188" t="s">
        <v>98</v>
      </c>
      <c r="E188">
        <v>43</v>
      </c>
      <c r="F188">
        <v>1900</v>
      </c>
      <c r="G188">
        <v>1180</v>
      </c>
      <c r="H188">
        <v>81700</v>
      </c>
    </row>
    <row r="189" spans="1:8">
      <c r="A189" t="s">
        <v>265</v>
      </c>
      <c r="B189" s="18">
        <v>46174</v>
      </c>
      <c r="C189" t="s">
        <v>80</v>
      </c>
      <c r="D189" t="s">
        <v>83</v>
      </c>
      <c r="E189">
        <v>14</v>
      </c>
      <c r="F189">
        <v>2760</v>
      </c>
      <c r="G189">
        <v>1720</v>
      </c>
      <c r="H189">
        <v>38640</v>
      </c>
    </row>
    <row r="190" spans="1:8">
      <c r="A190" t="s">
        <v>266</v>
      </c>
      <c r="B190" s="18">
        <v>46174</v>
      </c>
      <c r="C190" t="s">
        <v>61</v>
      </c>
      <c r="D190" t="s">
        <v>62</v>
      </c>
      <c r="E190">
        <v>16</v>
      </c>
      <c r="F190">
        <v>3560</v>
      </c>
      <c r="G190">
        <v>2300</v>
      </c>
      <c r="H190">
        <v>56960</v>
      </c>
    </row>
    <row r="191" spans="1:8">
      <c r="A191" t="s">
        <v>267</v>
      </c>
      <c r="B191" s="18">
        <v>46175</v>
      </c>
      <c r="C191" t="s">
        <v>61</v>
      </c>
      <c r="D191" t="s">
        <v>67</v>
      </c>
      <c r="E191">
        <v>28</v>
      </c>
      <c r="F191">
        <v>3680</v>
      </c>
      <c r="G191">
        <v>2640</v>
      </c>
      <c r="H191">
        <v>103040</v>
      </c>
    </row>
    <row r="192" spans="1:8">
      <c r="A192" t="s">
        <v>268</v>
      </c>
      <c r="B192" s="18">
        <v>46176</v>
      </c>
      <c r="C192" t="s">
        <v>86</v>
      </c>
      <c r="D192" t="s">
        <v>67</v>
      </c>
      <c r="E192">
        <v>21</v>
      </c>
      <c r="F192">
        <v>3680</v>
      </c>
      <c r="G192">
        <v>2640</v>
      </c>
      <c r="H192">
        <v>77280</v>
      </c>
    </row>
    <row r="193" spans="1:8">
      <c r="A193" t="s">
        <v>269</v>
      </c>
      <c r="B193" s="18">
        <v>46176</v>
      </c>
      <c r="C193" t="s">
        <v>82</v>
      </c>
      <c r="D193" t="s">
        <v>109</v>
      </c>
      <c r="E193">
        <v>11</v>
      </c>
      <c r="F193">
        <v>2070</v>
      </c>
      <c r="G193">
        <v>1380</v>
      </c>
      <c r="H193">
        <v>22770</v>
      </c>
    </row>
    <row r="194" spans="1:8">
      <c r="A194" t="s">
        <v>270</v>
      </c>
      <c r="B194" s="18">
        <v>46176</v>
      </c>
      <c r="C194" t="s">
        <v>72</v>
      </c>
      <c r="D194" t="s">
        <v>65</v>
      </c>
      <c r="E194">
        <v>9</v>
      </c>
      <c r="F194">
        <v>10920</v>
      </c>
      <c r="G194">
        <v>8050</v>
      </c>
      <c r="H194">
        <v>98280</v>
      </c>
    </row>
    <row r="195" spans="1:8">
      <c r="A195" t="s">
        <v>271</v>
      </c>
      <c r="B195" s="18">
        <v>46177</v>
      </c>
      <c r="C195" t="s">
        <v>82</v>
      </c>
      <c r="D195" t="s">
        <v>87</v>
      </c>
      <c r="E195">
        <v>18</v>
      </c>
      <c r="F195">
        <v>2990</v>
      </c>
      <c r="G195">
        <v>2070</v>
      </c>
      <c r="H195">
        <v>53820</v>
      </c>
    </row>
    <row r="196" spans="1:8">
      <c r="A196" t="s">
        <v>272</v>
      </c>
      <c r="B196" s="18">
        <v>46177</v>
      </c>
      <c r="C196" t="s">
        <v>72</v>
      </c>
      <c r="D196" t="s">
        <v>98</v>
      </c>
      <c r="E196">
        <v>1</v>
      </c>
      <c r="F196">
        <v>1950</v>
      </c>
      <c r="G196">
        <v>1210</v>
      </c>
      <c r="H196">
        <v>1950</v>
      </c>
    </row>
    <row r="197" spans="1:8">
      <c r="A197" t="s">
        <v>273</v>
      </c>
      <c r="B197" s="18">
        <v>46177</v>
      </c>
      <c r="C197" t="s">
        <v>86</v>
      </c>
      <c r="D197" t="s">
        <v>77</v>
      </c>
      <c r="E197">
        <v>55</v>
      </c>
      <c r="F197">
        <v>1840</v>
      </c>
      <c r="G197">
        <v>1320</v>
      </c>
      <c r="H197">
        <v>101200</v>
      </c>
    </row>
    <row r="198" spans="1:8">
      <c r="A198" t="s">
        <v>274</v>
      </c>
      <c r="B198" s="18">
        <v>46177</v>
      </c>
      <c r="C198" t="s">
        <v>82</v>
      </c>
      <c r="D198" t="s">
        <v>65</v>
      </c>
      <c r="E198">
        <v>18</v>
      </c>
      <c r="F198">
        <v>10920</v>
      </c>
      <c r="G198">
        <v>8050</v>
      </c>
      <c r="H198">
        <v>196560</v>
      </c>
    </row>
    <row r="199" spans="1:8">
      <c r="A199" t="s">
        <v>275</v>
      </c>
      <c r="B199" s="18">
        <v>46178</v>
      </c>
      <c r="C199" t="s">
        <v>64</v>
      </c>
      <c r="D199" t="s">
        <v>83</v>
      </c>
      <c r="E199">
        <v>14</v>
      </c>
      <c r="F199">
        <v>2760</v>
      </c>
      <c r="G199">
        <v>1720</v>
      </c>
      <c r="H199">
        <v>38640</v>
      </c>
    </row>
    <row r="200" spans="1:8">
      <c r="A200" t="s">
        <v>276</v>
      </c>
      <c r="B200" s="18">
        <v>46178</v>
      </c>
      <c r="C200" t="s">
        <v>86</v>
      </c>
      <c r="D200" t="s">
        <v>83</v>
      </c>
      <c r="E200">
        <v>12</v>
      </c>
      <c r="F200">
        <v>2760</v>
      </c>
      <c r="G200">
        <v>1720</v>
      </c>
      <c r="H200">
        <v>33120</v>
      </c>
    </row>
    <row r="201" spans="1:8">
      <c r="A201" t="s">
        <v>277</v>
      </c>
      <c r="B201" s="18">
        <v>46178</v>
      </c>
      <c r="C201" t="s">
        <v>72</v>
      </c>
      <c r="D201" t="s">
        <v>70</v>
      </c>
      <c r="E201">
        <v>17</v>
      </c>
      <c r="F201">
        <v>2180</v>
      </c>
      <c r="G201">
        <v>1260</v>
      </c>
      <c r="H201">
        <v>37060</v>
      </c>
    </row>
    <row r="202" spans="1:8">
      <c r="A202" t="s">
        <v>278</v>
      </c>
      <c r="B202" s="18">
        <v>46178</v>
      </c>
      <c r="C202" t="s">
        <v>69</v>
      </c>
      <c r="D202" t="s">
        <v>73</v>
      </c>
      <c r="E202">
        <v>11</v>
      </c>
      <c r="F202">
        <v>1720</v>
      </c>
      <c r="G202">
        <v>1090</v>
      </c>
      <c r="H202">
        <v>18920</v>
      </c>
    </row>
    <row r="203" spans="1:8">
      <c r="A203" t="s">
        <v>279</v>
      </c>
      <c r="B203" s="18">
        <v>46180</v>
      </c>
      <c r="C203" t="s">
        <v>61</v>
      </c>
      <c r="D203" t="s">
        <v>109</v>
      </c>
      <c r="E203">
        <v>20</v>
      </c>
      <c r="F203">
        <v>2070</v>
      </c>
      <c r="G203">
        <v>1380</v>
      </c>
      <c r="H203">
        <v>41400</v>
      </c>
    </row>
    <row r="204" spans="1:8">
      <c r="A204" t="s">
        <v>280</v>
      </c>
      <c r="B204" s="18">
        <v>46180</v>
      </c>
      <c r="C204" t="s">
        <v>91</v>
      </c>
      <c r="D204" t="s">
        <v>109</v>
      </c>
      <c r="E204">
        <v>27</v>
      </c>
      <c r="F204">
        <v>2070</v>
      </c>
      <c r="G204">
        <v>1380</v>
      </c>
      <c r="H204">
        <v>55890</v>
      </c>
    </row>
    <row r="205" spans="1:8">
      <c r="A205" t="s">
        <v>281</v>
      </c>
      <c r="B205" s="18">
        <v>46181</v>
      </c>
      <c r="C205" t="s">
        <v>61</v>
      </c>
      <c r="D205" t="s">
        <v>83</v>
      </c>
      <c r="E205">
        <v>14</v>
      </c>
      <c r="F205">
        <v>2760</v>
      </c>
      <c r="G205">
        <v>1720</v>
      </c>
      <c r="H205">
        <v>38640</v>
      </c>
    </row>
    <row r="206" spans="1:8">
      <c r="A206" t="s">
        <v>282</v>
      </c>
      <c r="B206" s="18">
        <v>46183</v>
      </c>
      <c r="C206" t="s">
        <v>61</v>
      </c>
      <c r="D206" t="s">
        <v>70</v>
      </c>
      <c r="E206">
        <v>30</v>
      </c>
      <c r="F206">
        <v>2180</v>
      </c>
      <c r="G206">
        <v>1260</v>
      </c>
      <c r="H206">
        <v>65400</v>
      </c>
    </row>
    <row r="207" spans="1:8">
      <c r="A207" t="s">
        <v>283</v>
      </c>
      <c r="B207" s="18">
        <v>46184</v>
      </c>
      <c r="C207" t="s">
        <v>61</v>
      </c>
      <c r="D207" t="s">
        <v>87</v>
      </c>
      <c r="E207">
        <v>36</v>
      </c>
      <c r="F207">
        <v>2990</v>
      </c>
      <c r="G207">
        <v>2070</v>
      </c>
      <c r="H207">
        <v>107640</v>
      </c>
    </row>
    <row r="208" spans="1:8">
      <c r="A208" t="s">
        <v>284</v>
      </c>
      <c r="B208" s="18">
        <v>46186</v>
      </c>
      <c r="C208" t="s">
        <v>86</v>
      </c>
      <c r="D208" t="s">
        <v>67</v>
      </c>
      <c r="E208">
        <v>14</v>
      </c>
      <c r="F208">
        <v>3680</v>
      </c>
      <c r="G208">
        <v>2640</v>
      </c>
      <c r="H208">
        <v>51520</v>
      </c>
    </row>
    <row r="209" spans="1:8">
      <c r="A209" t="s">
        <v>285</v>
      </c>
      <c r="B209" s="18">
        <v>46189</v>
      </c>
      <c r="C209" t="s">
        <v>72</v>
      </c>
      <c r="D209" t="s">
        <v>77</v>
      </c>
      <c r="E209">
        <v>17</v>
      </c>
      <c r="F209">
        <v>1840</v>
      </c>
      <c r="G209">
        <v>1320</v>
      </c>
      <c r="H209">
        <v>31280</v>
      </c>
    </row>
    <row r="210" spans="1:8">
      <c r="A210" t="s">
        <v>286</v>
      </c>
      <c r="B210" s="18">
        <v>46190</v>
      </c>
      <c r="C210" t="s">
        <v>61</v>
      </c>
      <c r="D210" t="s">
        <v>87</v>
      </c>
      <c r="E210">
        <v>9</v>
      </c>
      <c r="F210">
        <v>2990</v>
      </c>
      <c r="G210">
        <v>2070</v>
      </c>
      <c r="H210">
        <v>26910</v>
      </c>
    </row>
    <row r="211" spans="1:8">
      <c r="A211" t="s">
        <v>287</v>
      </c>
      <c r="B211" s="18">
        <v>46192</v>
      </c>
      <c r="C211" t="s">
        <v>86</v>
      </c>
      <c r="D211" t="s">
        <v>98</v>
      </c>
      <c r="E211">
        <v>20</v>
      </c>
      <c r="F211">
        <v>1950</v>
      </c>
      <c r="G211">
        <v>1210</v>
      </c>
      <c r="H211">
        <v>39000</v>
      </c>
    </row>
    <row r="212" spans="1:8">
      <c r="A212" t="s">
        <v>288</v>
      </c>
      <c r="B212" s="18">
        <v>46192</v>
      </c>
      <c r="C212" t="s">
        <v>69</v>
      </c>
      <c r="D212" t="s">
        <v>92</v>
      </c>
      <c r="E212">
        <v>8</v>
      </c>
      <c r="F212">
        <v>3330</v>
      </c>
      <c r="G212">
        <v>2180</v>
      </c>
      <c r="H212">
        <v>26640</v>
      </c>
    </row>
    <row r="213" spans="1:8">
      <c r="A213" t="s">
        <v>289</v>
      </c>
      <c r="B213" s="18">
        <v>46192</v>
      </c>
      <c r="C213" t="s">
        <v>91</v>
      </c>
      <c r="D213" t="s">
        <v>65</v>
      </c>
      <c r="E213">
        <v>34</v>
      </c>
      <c r="F213">
        <v>10920</v>
      </c>
      <c r="G213">
        <v>8050</v>
      </c>
      <c r="H213">
        <v>371280</v>
      </c>
    </row>
    <row r="214" spans="1:8">
      <c r="A214" t="s">
        <v>290</v>
      </c>
      <c r="B214" s="18">
        <v>46192</v>
      </c>
      <c r="C214" t="s">
        <v>86</v>
      </c>
      <c r="D214" t="s">
        <v>75</v>
      </c>
      <c r="E214">
        <v>11</v>
      </c>
      <c r="F214">
        <v>1490</v>
      </c>
      <c r="G214">
        <v>800</v>
      </c>
      <c r="H214">
        <v>16390</v>
      </c>
    </row>
    <row r="215" spans="1:8">
      <c r="A215" t="s">
        <v>291</v>
      </c>
      <c r="B215" s="18">
        <v>46194</v>
      </c>
      <c r="C215" t="s">
        <v>86</v>
      </c>
      <c r="D215" t="s">
        <v>83</v>
      </c>
      <c r="E215">
        <v>48</v>
      </c>
      <c r="F215">
        <v>2760</v>
      </c>
      <c r="G215">
        <v>1720</v>
      </c>
      <c r="H215">
        <v>132480</v>
      </c>
    </row>
    <row r="216" spans="1:8">
      <c r="A216" t="s">
        <v>292</v>
      </c>
      <c r="B216" s="18">
        <v>46195</v>
      </c>
      <c r="C216" t="s">
        <v>72</v>
      </c>
      <c r="D216" t="s">
        <v>65</v>
      </c>
      <c r="E216">
        <v>6</v>
      </c>
      <c r="F216">
        <v>10920</v>
      </c>
      <c r="G216">
        <v>8050</v>
      </c>
      <c r="H216">
        <v>65520</v>
      </c>
    </row>
    <row r="217" spans="1:8">
      <c r="A217" t="s">
        <v>293</v>
      </c>
      <c r="B217" s="18">
        <v>46197</v>
      </c>
      <c r="C217" t="s">
        <v>64</v>
      </c>
      <c r="D217" t="s">
        <v>67</v>
      </c>
      <c r="E217">
        <v>7</v>
      </c>
      <c r="F217">
        <v>3680</v>
      </c>
      <c r="G217">
        <v>2640</v>
      </c>
      <c r="H217">
        <v>25760</v>
      </c>
    </row>
    <row r="218" spans="1:8">
      <c r="A218" t="s">
        <v>294</v>
      </c>
      <c r="B218" s="18">
        <v>46197</v>
      </c>
      <c r="C218" t="s">
        <v>82</v>
      </c>
      <c r="D218" t="s">
        <v>92</v>
      </c>
      <c r="E218">
        <v>16</v>
      </c>
      <c r="F218">
        <v>3330</v>
      </c>
      <c r="G218">
        <v>2180</v>
      </c>
      <c r="H218">
        <v>53280</v>
      </c>
    </row>
    <row r="219" spans="1:8">
      <c r="A219" t="s">
        <v>295</v>
      </c>
      <c r="B219" s="18">
        <v>46199</v>
      </c>
      <c r="C219" t="s">
        <v>91</v>
      </c>
      <c r="D219" t="s">
        <v>92</v>
      </c>
      <c r="E219">
        <v>43</v>
      </c>
      <c r="F219">
        <v>3330</v>
      </c>
      <c r="G219">
        <v>2180</v>
      </c>
      <c r="H219">
        <v>143190</v>
      </c>
    </row>
    <row r="220" spans="1:8">
      <c r="A220" t="s">
        <v>296</v>
      </c>
      <c r="B220" s="18">
        <v>46199</v>
      </c>
      <c r="C220" t="s">
        <v>72</v>
      </c>
      <c r="D220" t="s">
        <v>65</v>
      </c>
      <c r="E220">
        <v>18</v>
      </c>
      <c r="F220">
        <v>10920</v>
      </c>
      <c r="G220">
        <v>8050</v>
      </c>
      <c r="H220">
        <v>196560</v>
      </c>
    </row>
    <row r="221" spans="1:8">
      <c r="A221" t="s">
        <v>297</v>
      </c>
      <c r="B221" s="18">
        <v>46201</v>
      </c>
      <c r="C221" t="s">
        <v>72</v>
      </c>
      <c r="D221" t="s">
        <v>62</v>
      </c>
      <c r="E221">
        <v>11</v>
      </c>
      <c r="F221">
        <v>3560</v>
      </c>
      <c r="G221">
        <v>2300</v>
      </c>
      <c r="H221">
        <v>39160</v>
      </c>
    </row>
    <row r="222" spans="1:8">
      <c r="A222" t="s">
        <v>298</v>
      </c>
      <c r="B222" s="18">
        <v>46203</v>
      </c>
      <c r="C222" t="s">
        <v>64</v>
      </c>
      <c r="D222" t="s">
        <v>92</v>
      </c>
      <c r="E222">
        <v>14</v>
      </c>
      <c r="F222">
        <v>3330</v>
      </c>
      <c r="G222">
        <v>2180</v>
      </c>
      <c r="H222">
        <v>46620</v>
      </c>
    </row>
    <row r="223" spans="1:8">
      <c r="A223" t="s">
        <v>299</v>
      </c>
      <c r="B223" s="18">
        <v>46204</v>
      </c>
      <c r="C223" t="s">
        <v>72</v>
      </c>
      <c r="D223" t="s">
        <v>77</v>
      </c>
      <c r="E223">
        <v>5</v>
      </c>
      <c r="F223">
        <v>1890</v>
      </c>
      <c r="G223">
        <v>1360</v>
      </c>
      <c r="H223">
        <v>9450</v>
      </c>
    </row>
    <row r="224" spans="1:8">
      <c r="A224" t="s">
        <v>300</v>
      </c>
      <c r="B224" s="18">
        <v>46206</v>
      </c>
      <c r="C224" t="s">
        <v>64</v>
      </c>
      <c r="D224" t="s">
        <v>65</v>
      </c>
      <c r="E224">
        <v>10</v>
      </c>
      <c r="F224">
        <v>11210</v>
      </c>
      <c r="G224">
        <v>8260</v>
      </c>
      <c r="H224">
        <v>112100</v>
      </c>
    </row>
    <row r="225" spans="1:8">
      <c r="A225" t="s">
        <v>301</v>
      </c>
      <c r="B225" s="18">
        <v>46206</v>
      </c>
      <c r="C225" t="s">
        <v>82</v>
      </c>
      <c r="D225" t="s">
        <v>92</v>
      </c>
      <c r="E225">
        <v>9</v>
      </c>
      <c r="F225">
        <v>3420</v>
      </c>
      <c r="G225">
        <v>2240</v>
      </c>
      <c r="H225">
        <v>30780</v>
      </c>
    </row>
    <row r="226" spans="1:8">
      <c r="A226" t="s">
        <v>302</v>
      </c>
      <c r="B226" s="18">
        <v>46209</v>
      </c>
      <c r="C226" t="s">
        <v>80</v>
      </c>
      <c r="D226" t="s">
        <v>62</v>
      </c>
      <c r="E226">
        <v>12</v>
      </c>
      <c r="F226">
        <v>3660</v>
      </c>
      <c r="G226">
        <v>2360</v>
      </c>
      <c r="H226">
        <v>43920</v>
      </c>
    </row>
    <row r="227" spans="1:8">
      <c r="A227" t="s">
        <v>303</v>
      </c>
      <c r="B227" s="18">
        <v>46210</v>
      </c>
      <c r="C227" t="s">
        <v>64</v>
      </c>
      <c r="D227" t="s">
        <v>67</v>
      </c>
      <c r="E227">
        <v>9</v>
      </c>
      <c r="F227">
        <v>3780</v>
      </c>
      <c r="G227">
        <v>2710</v>
      </c>
      <c r="H227">
        <v>34020</v>
      </c>
    </row>
    <row r="228" spans="1:8">
      <c r="A228" t="s">
        <v>304</v>
      </c>
      <c r="B228" s="18">
        <v>46211</v>
      </c>
      <c r="C228" t="s">
        <v>80</v>
      </c>
      <c r="D228" t="s">
        <v>77</v>
      </c>
      <c r="E228">
        <v>20</v>
      </c>
      <c r="F228">
        <v>1890</v>
      </c>
      <c r="G228">
        <v>1360</v>
      </c>
      <c r="H228">
        <v>37800</v>
      </c>
    </row>
    <row r="229" spans="1:8">
      <c r="A229" t="s">
        <v>305</v>
      </c>
      <c r="B229" s="18">
        <v>46211</v>
      </c>
      <c r="C229" t="s">
        <v>69</v>
      </c>
      <c r="D229" t="s">
        <v>98</v>
      </c>
      <c r="E229">
        <v>38</v>
      </c>
      <c r="F229">
        <v>2010</v>
      </c>
      <c r="G229">
        <v>1240</v>
      </c>
      <c r="H229">
        <v>76380</v>
      </c>
    </row>
    <row r="230" spans="1:8">
      <c r="A230" t="s">
        <v>306</v>
      </c>
      <c r="B230" s="18">
        <v>46212</v>
      </c>
      <c r="C230" t="s">
        <v>86</v>
      </c>
      <c r="D230" t="s">
        <v>98</v>
      </c>
      <c r="E230">
        <v>46</v>
      </c>
      <c r="F230">
        <v>2010</v>
      </c>
      <c r="G230">
        <v>1240</v>
      </c>
      <c r="H230">
        <v>92460</v>
      </c>
    </row>
    <row r="231" spans="1:8">
      <c r="A231" t="s">
        <v>307</v>
      </c>
      <c r="B231" s="18">
        <v>46212</v>
      </c>
      <c r="C231" t="s">
        <v>72</v>
      </c>
      <c r="D231" t="s">
        <v>77</v>
      </c>
      <c r="E231">
        <v>5</v>
      </c>
      <c r="F231">
        <v>1890</v>
      </c>
      <c r="G231">
        <v>1360</v>
      </c>
      <c r="H231">
        <v>9450</v>
      </c>
    </row>
    <row r="232" spans="1:8">
      <c r="A232" t="s">
        <v>308</v>
      </c>
      <c r="B232" s="18">
        <v>46216</v>
      </c>
      <c r="C232" t="s">
        <v>69</v>
      </c>
      <c r="D232" t="s">
        <v>62</v>
      </c>
      <c r="E232">
        <v>60</v>
      </c>
      <c r="F232">
        <v>3660</v>
      </c>
      <c r="G232">
        <v>2360</v>
      </c>
      <c r="H232">
        <v>219600</v>
      </c>
    </row>
    <row r="233" spans="1:8">
      <c r="A233" t="s">
        <v>309</v>
      </c>
      <c r="B233" s="18">
        <v>46217</v>
      </c>
      <c r="C233" t="s">
        <v>64</v>
      </c>
      <c r="D233" t="s">
        <v>87</v>
      </c>
      <c r="E233">
        <v>18</v>
      </c>
      <c r="F233">
        <v>3070</v>
      </c>
      <c r="G233">
        <v>2120</v>
      </c>
      <c r="H233">
        <v>55260</v>
      </c>
    </row>
    <row r="234" spans="1:8">
      <c r="A234" t="s">
        <v>310</v>
      </c>
      <c r="B234" s="18">
        <v>46217</v>
      </c>
      <c r="C234" t="s">
        <v>82</v>
      </c>
      <c r="D234" t="s">
        <v>92</v>
      </c>
      <c r="E234">
        <v>9</v>
      </c>
      <c r="F234">
        <v>3420</v>
      </c>
      <c r="G234">
        <v>2240</v>
      </c>
      <c r="H234">
        <v>30780</v>
      </c>
    </row>
    <row r="235" spans="1:8">
      <c r="A235" t="s">
        <v>311</v>
      </c>
      <c r="B235" s="18">
        <v>46217</v>
      </c>
      <c r="C235" t="s">
        <v>80</v>
      </c>
      <c r="D235" t="s">
        <v>77</v>
      </c>
      <c r="E235">
        <v>19</v>
      </c>
      <c r="F235">
        <v>1890</v>
      </c>
      <c r="G235">
        <v>1360</v>
      </c>
      <c r="H235">
        <v>35910</v>
      </c>
    </row>
    <row r="236" spans="1:8">
      <c r="A236" t="s">
        <v>312</v>
      </c>
      <c r="B236" s="18">
        <v>46217</v>
      </c>
      <c r="C236" t="s">
        <v>64</v>
      </c>
      <c r="D236" t="s">
        <v>92</v>
      </c>
      <c r="E236">
        <v>9</v>
      </c>
      <c r="F236">
        <v>3420</v>
      </c>
      <c r="G236">
        <v>2240</v>
      </c>
      <c r="H236">
        <v>30780</v>
      </c>
    </row>
    <row r="237" spans="1:8">
      <c r="A237" t="s">
        <v>313</v>
      </c>
      <c r="B237" s="18">
        <v>46217</v>
      </c>
      <c r="C237" t="s">
        <v>91</v>
      </c>
      <c r="D237" t="s">
        <v>87</v>
      </c>
      <c r="E237">
        <v>50</v>
      </c>
      <c r="F237">
        <v>3070</v>
      </c>
      <c r="G237">
        <v>2120</v>
      </c>
      <c r="H237">
        <v>153500</v>
      </c>
    </row>
    <row r="238" spans="1:8">
      <c r="A238" t="s">
        <v>314</v>
      </c>
      <c r="B238" s="18">
        <v>46225</v>
      </c>
      <c r="C238" t="s">
        <v>69</v>
      </c>
      <c r="D238" t="s">
        <v>67</v>
      </c>
      <c r="E238">
        <v>21</v>
      </c>
      <c r="F238">
        <v>3780</v>
      </c>
      <c r="G238">
        <v>2710</v>
      </c>
      <c r="H238">
        <v>79380</v>
      </c>
    </row>
    <row r="239" spans="1:8">
      <c r="A239" t="s">
        <v>315</v>
      </c>
      <c r="B239" s="18">
        <v>46226</v>
      </c>
      <c r="C239" t="s">
        <v>61</v>
      </c>
      <c r="D239" t="s">
        <v>73</v>
      </c>
      <c r="E239">
        <v>42</v>
      </c>
      <c r="F239">
        <v>1770</v>
      </c>
      <c r="G239">
        <v>1120</v>
      </c>
      <c r="H239">
        <v>74340</v>
      </c>
    </row>
    <row r="240" spans="1:8">
      <c r="A240" t="s">
        <v>316</v>
      </c>
      <c r="B240" s="18">
        <v>46226</v>
      </c>
      <c r="C240" t="s">
        <v>86</v>
      </c>
      <c r="D240" t="s">
        <v>62</v>
      </c>
      <c r="E240">
        <v>59</v>
      </c>
      <c r="F240">
        <v>3660</v>
      </c>
      <c r="G240">
        <v>2360</v>
      </c>
      <c r="H240">
        <v>215940</v>
      </c>
    </row>
    <row r="241" spans="1:8">
      <c r="A241" t="s">
        <v>317</v>
      </c>
      <c r="B241" s="18">
        <v>46227</v>
      </c>
      <c r="C241" t="s">
        <v>91</v>
      </c>
      <c r="D241" t="s">
        <v>109</v>
      </c>
      <c r="E241">
        <v>12</v>
      </c>
      <c r="F241">
        <v>2120</v>
      </c>
      <c r="G241">
        <v>1420</v>
      </c>
      <c r="H241">
        <v>25440</v>
      </c>
    </row>
    <row r="242" spans="1:8">
      <c r="A242" t="s">
        <v>318</v>
      </c>
      <c r="B242" s="18">
        <v>46229</v>
      </c>
      <c r="C242" t="s">
        <v>82</v>
      </c>
      <c r="D242" t="s">
        <v>87</v>
      </c>
      <c r="E242">
        <v>18</v>
      </c>
      <c r="F242">
        <v>3070</v>
      </c>
      <c r="G242">
        <v>2120</v>
      </c>
      <c r="H242">
        <v>55260</v>
      </c>
    </row>
    <row r="243" spans="1:8">
      <c r="A243" t="s">
        <v>319</v>
      </c>
      <c r="B243" s="18">
        <v>46231</v>
      </c>
      <c r="C243" t="s">
        <v>69</v>
      </c>
      <c r="D243" t="s">
        <v>98</v>
      </c>
      <c r="E243">
        <v>53</v>
      </c>
      <c r="F243">
        <v>2010</v>
      </c>
      <c r="G243">
        <v>1240</v>
      </c>
      <c r="H243">
        <v>106530</v>
      </c>
    </row>
    <row r="244" spans="1:8">
      <c r="A244" t="s">
        <v>320</v>
      </c>
      <c r="B244" s="18">
        <v>46231</v>
      </c>
      <c r="C244" t="s">
        <v>64</v>
      </c>
      <c r="D244" t="s">
        <v>109</v>
      </c>
      <c r="E244">
        <v>12</v>
      </c>
      <c r="F244">
        <v>2120</v>
      </c>
      <c r="G244">
        <v>1420</v>
      </c>
      <c r="H244">
        <v>25440</v>
      </c>
    </row>
    <row r="245" spans="1:8">
      <c r="A245" t="s">
        <v>321</v>
      </c>
      <c r="B245" s="18">
        <v>46232</v>
      </c>
      <c r="C245" t="s">
        <v>91</v>
      </c>
      <c r="D245" t="s">
        <v>92</v>
      </c>
      <c r="E245">
        <v>49</v>
      </c>
      <c r="F245">
        <v>3420</v>
      </c>
      <c r="G245">
        <v>2240</v>
      </c>
      <c r="H245">
        <v>167580</v>
      </c>
    </row>
    <row r="246" spans="1:8">
      <c r="A246" t="s">
        <v>322</v>
      </c>
      <c r="B246" s="18">
        <v>46233</v>
      </c>
      <c r="C246" t="s">
        <v>69</v>
      </c>
      <c r="D246" t="s">
        <v>65</v>
      </c>
      <c r="E246">
        <v>8</v>
      </c>
      <c r="F246">
        <v>11210</v>
      </c>
      <c r="G246">
        <v>8260</v>
      </c>
      <c r="H246">
        <v>89680</v>
      </c>
    </row>
    <row r="247" spans="1:8">
      <c r="A247" t="s">
        <v>323</v>
      </c>
      <c r="B247" s="18">
        <v>46233</v>
      </c>
      <c r="C247" t="s">
        <v>61</v>
      </c>
      <c r="D247" t="s">
        <v>70</v>
      </c>
      <c r="E247">
        <v>15</v>
      </c>
      <c r="F247">
        <v>2240</v>
      </c>
      <c r="G247">
        <v>1300</v>
      </c>
      <c r="H247">
        <v>33600</v>
      </c>
    </row>
    <row r="248" spans="1:8">
      <c r="A248" t="s">
        <v>324</v>
      </c>
      <c r="B248" s="18">
        <v>46233</v>
      </c>
      <c r="C248" t="s">
        <v>80</v>
      </c>
      <c r="D248" t="s">
        <v>67</v>
      </c>
      <c r="E248">
        <v>6</v>
      </c>
      <c r="F248">
        <v>3780</v>
      </c>
      <c r="G248">
        <v>2710</v>
      </c>
      <c r="H248">
        <v>22680</v>
      </c>
    </row>
    <row r="249" spans="1:8">
      <c r="A249" t="s">
        <v>325</v>
      </c>
      <c r="B249" s="18">
        <v>46235</v>
      </c>
      <c r="C249" t="s">
        <v>91</v>
      </c>
      <c r="D249" t="s">
        <v>98</v>
      </c>
      <c r="E249">
        <v>22</v>
      </c>
      <c r="F249">
        <v>2060</v>
      </c>
      <c r="G249">
        <v>1270</v>
      </c>
      <c r="H249">
        <v>45320</v>
      </c>
    </row>
    <row r="250" spans="1:8">
      <c r="A250" t="s">
        <v>326</v>
      </c>
      <c r="B250" s="18">
        <v>46235</v>
      </c>
      <c r="C250" t="s">
        <v>86</v>
      </c>
      <c r="D250" t="s">
        <v>75</v>
      </c>
      <c r="E250">
        <v>44</v>
      </c>
      <c r="F250">
        <v>1570</v>
      </c>
      <c r="G250">
        <v>850</v>
      </c>
      <c r="H250">
        <v>69080</v>
      </c>
    </row>
    <row r="251" spans="1:8">
      <c r="A251" t="s">
        <v>327</v>
      </c>
      <c r="B251" s="18">
        <v>46236</v>
      </c>
      <c r="C251" t="s">
        <v>61</v>
      </c>
      <c r="D251" t="s">
        <v>98</v>
      </c>
      <c r="E251">
        <v>29</v>
      </c>
      <c r="F251">
        <v>2060</v>
      </c>
      <c r="G251">
        <v>1270</v>
      </c>
      <c r="H251">
        <v>59740</v>
      </c>
    </row>
    <row r="252" spans="1:8">
      <c r="A252" t="s">
        <v>328</v>
      </c>
      <c r="B252" s="18">
        <v>46237</v>
      </c>
      <c r="C252" t="s">
        <v>61</v>
      </c>
      <c r="D252" t="s">
        <v>75</v>
      </c>
      <c r="E252">
        <v>42</v>
      </c>
      <c r="F252">
        <v>1570</v>
      </c>
      <c r="G252">
        <v>850</v>
      </c>
      <c r="H252">
        <v>65940</v>
      </c>
    </row>
    <row r="253" spans="1:8">
      <c r="A253" t="s">
        <v>329</v>
      </c>
      <c r="B253" s="18">
        <v>46237</v>
      </c>
      <c r="C253" t="s">
        <v>91</v>
      </c>
      <c r="D253" t="s">
        <v>70</v>
      </c>
      <c r="E253">
        <v>18</v>
      </c>
      <c r="F253">
        <v>2300</v>
      </c>
      <c r="G253">
        <v>1330</v>
      </c>
      <c r="H253">
        <v>41400</v>
      </c>
    </row>
    <row r="254" spans="1:8">
      <c r="A254" t="s">
        <v>330</v>
      </c>
      <c r="B254" s="18">
        <v>46239</v>
      </c>
      <c r="C254" t="s">
        <v>86</v>
      </c>
      <c r="D254" t="s">
        <v>92</v>
      </c>
      <c r="E254">
        <v>29</v>
      </c>
      <c r="F254">
        <v>3510</v>
      </c>
      <c r="G254">
        <v>2300</v>
      </c>
      <c r="H254">
        <v>101790</v>
      </c>
    </row>
    <row r="255" spans="1:8">
      <c r="A255" t="s">
        <v>331</v>
      </c>
      <c r="B255" s="18">
        <v>46239</v>
      </c>
      <c r="C255" t="s">
        <v>61</v>
      </c>
      <c r="D255" t="s">
        <v>98</v>
      </c>
      <c r="E255">
        <v>53</v>
      </c>
      <c r="F255">
        <v>2060</v>
      </c>
      <c r="G255">
        <v>1270</v>
      </c>
      <c r="H255">
        <v>109180</v>
      </c>
    </row>
    <row r="256" spans="1:8">
      <c r="A256" t="s">
        <v>332</v>
      </c>
      <c r="B256" s="18">
        <v>46241</v>
      </c>
      <c r="C256" t="s">
        <v>82</v>
      </c>
      <c r="D256" t="s">
        <v>73</v>
      </c>
      <c r="E256">
        <v>3</v>
      </c>
      <c r="F256">
        <v>1820</v>
      </c>
      <c r="G256">
        <v>1150</v>
      </c>
      <c r="H256">
        <v>5460</v>
      </c>
    </row>
    <row r="257" spans="1:8">
      <c r="A257" t="s">
        <v>333</v>
      </c>
      <c r="B257" s="18">
        <v>46242</v>
      </c>
      <c r="C257" t="s">
        <v>64</v>
      </c>
      <c r="D257" t="s">
        <v>77</v>
      </c>
      <c r="E257">
        <v>20</v>
      </c>
      <c r="F257">
        <v>1940</v>
      </c>
      <c r="G257">
        <v>1390</v>
      </c>
      <c r="H257">
        <v>38800</v>
      </c>
    </row>
    <row r="258" spans="1:8">
      <c r="A258" t="s">
        <v>334</v>
      </c>
      <c r="B258" s="18">
        <v>46243</v>
      </c>
      <c r="C258" t="s">
        <v>80</v>
      </c>
      <c r="D258" t="s">
        <v>83</v>
      </c>
      <c r="E258">
        <v>17</v>
      </c>
      <c r="F258">
        <v>2900</v>
      </c>
      <c r="G258">
        <v>1820</v>
      </c>
      <c r="H258">
        <v>49300</v>
      </c>
    </row>
    <row r="259" spans="1:8">
      <c r="A259" t="s">
        <v>335</v>
      </c>
      <c r="B259" s="18">
        <v>46245</v>
      </c>
      <c r="C259" t="s">
        <v>86</v>
      </c>
      <c r="D259" t="s">
        <v>87</v>
      </c>
      <c r="E259">
        <v>50</v>
      </c>
      <c r="F259">
        <v>3150</v>
      </c>
      <c r="G259">
        <v>2180</v>
      </c>
      <c r="H259">
        <v>157500</v>
      </c>
    </row>
    <row r="260" spans="1:8">
      <c r="A260" t="s">
        <v>336</v>
      </c>
      <c r="B260" s="18">
        <v>46246</v>
      </c>
      <c r="C260" t="s">
        <v>69</v>
      </c>
      <c r="D260" t="s">
        <v>109</v>
      </c>
      <c r="E260">
        <v>29</v>
      </c>
      <c r="F260">
        <v>2180</v>
      </c>
      <c r="G260">
        <v>1450</v>
      </c>
      <c r="H260">
        <v>63220</v>
      </c>
    </row>
    <row r="261" spans="1:8">
      <c r="A261" t="s">
        <v>337</v>
      </c>
      <c r="B261" s="18">
        <v>46246</v>
      </c>
      <c r="C261" t="s">
        <v>69</v>
      </c>
      <c r="D261" t="s">
        <v>73</v>
      </c>
      <c r="E261">
        <v>35</v>
      </c>
      <c r="F261">
        <v>1820</v>
      </c>
      <c r="G261">
        <v>1150</v>
      </c>
      <c r="H261">
        <v>63700</v>
      </c>
    </row>
    <row r="262" spans="1:8">
      <c r="A262" t="s">
        <v>338</v>
      </c>
      <c r="B262" s="18">
        <v>46247</v>
      </c>
      <c r="C262" t="s">
        <v>69</v>
      </c>
      <c r="D262" t="s">
        <v>73</v>
      </c>
      <c r="E262">
        <v>20</v>
      </c>
      <c r="F262">
        <v>1820</v>
      </c>
      <c r="G262">
        <v>1150</v>
      </c>
      <c r="H262">
        <v>36400</v>
      </c>
    </row>
    <row r="263" spans="1:8">
      <c r="A263" t="s">
        <v>339</v>
      </c>
      <c r="B263" s="18">
        <v>46249</v>
      </c>
      <c r="C263" t="s">
        <v>64</v>
      </c>
      <c r="D263" t="s">
        <v>67</v>
      </c>
      <c r="E263">
        <v>19</v>
      </c>
      <c r="F263">
        <v>3870</v>
      </c>
      <c r="G263">
        <v>2780</v>
      </c>
      <c r="H263">
        <v>73530</v>
      </c>
    </row>
    <row r="264" spans="1:8">
      <c r="A264" t="s">
        <v>340</v>
      </c>
      <c r="B264" s="18">
        <v>46252</v>
      </c>
      <c r="C264" t="s">
        <v>80</v>
      </c>
      <c r="D264" t="s">
        <v>92</v>
      </c>
      <c r="E264">
        <v>6</v>
      </c>
      <c r="F264">
        <v>3510</v>
      </c>
      <c r="G264">
        <v>2300</v>
      </c>
      <c r="H264">
        <v>21060</v>
      </c>
    </row>
    <row r="265" spans="1:8">
      <c r="A265" t="s">
        <v>341</v>
      </c>
      <c r="B265" s="18">
        <v>46253</v>
      </c>
      <c r="C265" t="s">
        <v>69</v>
      </c>
      <c r="D265" t="s">
        <v>70</v>
      </c>
      <c r="E265">
        <v>60</v>
      </c>
      <c r="F265">
        <v>2300</v>
      </c>
      <c r="G265">
        <v>1330</v>
      </c>
      <c r="H265">
        <v>138000</v>
      </c>
    </row>
    <row r="266" spans="1:8">
      <c r="A266" t="s">
        <v>342</v>
      </c>
      <c r="B266" s="18">
        <v>46253</v>
      </c>
      <c r="C266" t="s">
        <v>69</v>
      </c>
      <c r="D266" t="s">
        <v>70</v>
      </c>
      <c r="E266">
        <v>7</v>
      </c>
      <c r="F266">
        <v>2300</v>
      </c>
      <c r="G266">
        <v>1330</v>
      </c>
      <c r="H266">
        <v>16100</v>
      </c>
    </row>
    <row r="267" spans="1:8">
      <c r="A267" t="s">
        <v>343</v>
      </c>
      <c r="B267" s="18">
        <v>46255</v>
      </c>
      <c r="C267" t="s">
        <v>82</v>
      </c>
      <c r="D267" t="s">
        <v>65</v>
      </c>
      <c r="E267">
        <v>9</v>
      </c>
      <c r="F267">
        <v>11500</v>
      </c>
      <c r="G267">
        <v>8470</v>
      </c>
      <c r="H267">
        <v>103500</v>
      </c>
    </row>
    <row r="268" spans="1:8">
      <c r="A268" t="s">
        <v>344</v>
      </c>
      <c r="B268" s="18">
        <v>46255</v>
      </c>
      <c r="C268" t="s">
        <v>64</v>
      </c>
      <c r="D268" t="s">
        <v>92</v>
      </c>
      <c r="E268">
        <v>18</v>
      </c>
      <c r="F268">
        <v>3510</v>
      </c>
      <c r="G268">
        <v>2300</v>
      </c>
      <c r="H268">
        <v>63180</v>
      </c>
    </row>
    <row r="269" spans="1:8">
      <c r="A269" t="s">
        <v>345</v>
      </c>
      <c r="B269" s="18">
        <v>46255</v>
      </c>
      <c r="C269" t="s">
        <v>91</v>
      </c>
      <c r="D269" t="s">
        <v>62</v>
      </c>
      <c r="E269">
        <v>53</v>
      </c>
      <c r="F269">
        <v>3750</v>
      </c>
      <c r="G269">
        <v>2420</v>
      </c>
      <c r="H269">
        <v>198750</v>
      </c>
    </row>
    <row r="270" spans="1:8">
      <c r="A270" t="s">
        <v>346</v>
      </c>
      <c r="B270" s="18">
        <v>46255</v>
      </c>
      <c r="C270" t="s">
        <v>86</v>
      </c>
      <c r="D270" t="s">
        <v>87</v>
      </c>
      <c r="E270">
        <v>19</v>
      </c>
      <c r="F270">
        <v>3150</v>
      </c>
      <c r="G270">
        <v>2180</v>
      </c>
      <c r="H270">
        <v>59850</v>
      </c>
    </row>
    <row r="271" spans="1:8">
      <c r="A271" t="s">
        <v>347</v>
      </c>
      <c r="B271" s="18">
        <v>46256</v>
      </c>
      <c r="C271" t="s">
        <v>64</v>
      </c>
      <c r="D271" t="s">
        <v>83</v>
      </c>
      <c r="E271">
        <v>13</v>
      </c>
      <c r="F271">
        <v>2900</v>
      </c>
      <c r="G271">
        <v>1820</v>
      </c>
      <c r="H271">
        <v>37700</v>
      </c>
    </row>
    <row r="272" spans="1:8">
      <c r="A272" t="s">
        <v>348</v>
      </c>
      <c r="B272" s="18">
        <v>46259</v>
      </c>
      <c r="C272" t="s">
        <v>72</v>
      </c>
      <c r="D272" t="s">
        <v>109</v>
      </c>
      <c r="E272">
        <v>7</v>
      </c>
      <c r="F272">
        <v>2180</v>
      </c>
      <c r="G272">
        <v>1450</v>
      </c>
      <c r="H272">
        <v>15260</v>
      </c>
    </row>
    <row r="273" spans="1:8">
      <c r="A273" t="s">
        <v>349</v>
      </c>
      <c r="B273" s="18">
        <v>46260</v>
      </c>
      <c r="C273" t="s">
        <v>91</v>
      </c>
      <c r="D273" t="s">
        <v>75</v>
      </c>
      <c r="E273">
        <v>44</v>
      </c>
      <c r="F273">
        <v>1570</v>
      </c>
      <c r="G273">
        <v>850</v>
      </c>
      <c r="H273">
        <v>69080</v>
      </c>
    </row>
    <row r="274" spans="1:8">
      <c r="A274" t="s">
        <v>350</v>
      </c>
      <c r="B274" s="18">
        <v>46260</v>
      </c>
      <c r="C274" t="s">
        <v>72</v>
      </c>
      <c r="D274" t="s">
        <v>62</v>
      </c>
      <c r="E274">
        <v>1</v>
      </c>
      <c r="F274">
        <v>3750</v>
      </c>
      <c r="G274">
        <v>2420</v>
      </c>
      <c r="H274">
        <v>3750</v>
      </c>
    </row>
    <row r="275" spans="1:8">
      <c r="A275" t="s">
        <v>351</v>
      </c>
      <c r="B275" s="18">
        <v>46262</v>
      </c>
      <c r="C275" t="s">
        <v>64</v>
      </c>
      <c r="D275" t="s">
        <v>98</v>
      </c>
      <c r="E275">
        <v>1</v>
      </c>
      <c r="F275">
        <v>2060</v>
      </c>
      <c r="G275">
        <v>1270</v>
      </c>
      <c r="H275">
        <v>2060</v>
      </c>
    </row>
    <row r="276" spans="1:8">
      <c r="A276" t="s">
        <v>352</v>
      </c>
      <c r="B276" s="18">
        <v>46262</v>
      </c>
      <c r="C276" t="s">
        <v>80</v>
      </c>
      <c r="D276" t="s">
        <v>77</v>
      </c>
      <c r="E276">
        <v>18</v>
      </c>
      <c r="F276">
        <v>1940</v>
      </c>
      <c r="G276">
        <v>1390</v>
      </c>
      <c r="H276">
        <v>34920</v>
      </c>
    </row>
    <row r="277" spans="1:8">
      <c r="A277" t="s">
        <v>353</v>
      </c>
      <c r="B277" s="18">
        <v>46263</v>
      </c>
      <c r="C277" t="s">
        <v>69</v>
      </c>
      <c r="D277" t="s">
        <v>75</v>
      </c>
      <c r="E277">
        <v>26</v>
      </c>
      <c r="F277">
        <v>1570</v>
      </c>
      <c r="G277">
        <v>850</v>
      </c>
      <c r="H277">
        <v>40820</v>
      </c>
    </row>
    <row r="278" spans="1:8">
      <c r="A278" t="s">
        <v>354</v>
      </c>
      <c r="B278" s="18">
        <v>46264</v>
      </c>
      <c r="C278" t="s">
        <v>61</v>
      </c>
      <c r="D278" t="s">
        <v>75</v>
      </c>
      <c r="E278">
        <v>40</v>
      </c>
      <c r="F278">
        <v>1570</v>
      </c>
      <c r="G278">
        <v>850</v>
      </c>
      <c r="H278">
        <v>62800</v>
      </c>
    </row>
    <row r="279" spans="1:8">
      <c r="A279" t="s">
        <v>355</v>
      </c>
      <c r="B279" s="18">
        <v>46265</v>
      </c>
      <c r="C279" t="s">
        <v>72</v>
      </c>
      <c r="D279" t="s">
        <v>83</v>
      </c>
      <c r="E279">
        <v>4</v>
      </c>
      <c r="F279">
        <v>2900</v>
      </c>
      <c r="G279">
        <v>1820</v>
      </c>
      <c r="H279">
        <v>11600</v>
      </c>
    </row>
    <row r="280" spans="1:8">
      <c r="A280" t="s">
        <v>356</v>
      </c>
      <c r="B280" s="18">
        <v>46265</v>
      </c>
      <c r="C280" t="s">
        <v>72</v>
      </c>
      <c r="D280" t="s">
        <v>92</v>
      </c>
      <c r="E280">
        <v>5</v>
      </c>
      <c r="F280">
        <v>3510</v>
      </c>
      <c r="G280">
        <v>2300</v>
      </c>
      <c r="H280">
        <v>17550</v>
      </c>
    </row>
    <row r="281" spans="1:8">
      <c r="A281" t="s">
        <v>357</v>
      </c>
      <c r="B281" s="18">
        <v>46266</v>
      </c>
      <c r="C281" t="s">
        <v>69</v>
      </c>
      <c r="D281" t="s">
        <v>62</v>
      </c>
      <c r="E281">
        <v>37</v>
      </c>
      <c r="F281">
        <v>3840</v>
      </c>
      <c r="G281">
        <v>2480</v>
      </c>
      <c r="H281">
        <v>142080</v>
      </c>
    </row>
    <row r="282" spans="1:8">
      <c r="A282" t="s">
        <v>358</v>
      </c>
      <c r="B282" s="18">
        <v>46267</v>
      </c>
      <c r="C282" t="s">
        <v>80</v>
      </c>
      <c r="D282" t="s">
        <v>109</v>
      </c>
      <c r="E282">
        <v>17</v>
      </c>
      <c r="F282">
        <v>2230</v>
      </c>
      <c r="G282">
        <v>1490</v>
      </c>
      <c r="H282">
        <v>37910</v>
      </c>
    </row>
    <row r="283" spans="1:8">
      <c r="A283" t="s">
        <v>359</v>
      </c>
      <c r="B283" s="18">
        <v>46269</v>
      </c>
      <c r="C283" t="s">
        <v>64</v>
      </c>
      <c r="D283" t="s">
        <v>65</v>
      </c>
      <c r="E283">
        <v>11</v>
      </c>
      <c r="F283">
        <v>11780</v>
      </c>
      <c r="G283">
        <v>8680</v>
      </c>
      <c r="H283">
        <v>129580</v>
      </c>
    </row>
    <row r="284" spans="1:8">
      <c r="A284" t="s">
        <v>360</v>
      </c>
      <c r="B284" s="18">
        <v>46270</v>
      </c>
      <c r="C284" t="s">
        <v>64</v>
      </c>
      <c r="D284" t="s">
        <v>65</v>
      </c>
      <c r="E284">
        <v>19</v>
      </c>
      <c r="F284">
        <v>11780</v>
      </c>
      <c r="G284">
        <v>8680</v>
      </c>
      <c r="H284">
        <v>223820</v>
      </c>
    </row>
    <row r="285" spans="1:8">
      <c r="A285" t="s">
        <v>361</v>
      </c>
      <c r="B285" s="18">
        <v>46270</v>
      </c>
      <c r="C285" t="s">
        <v>91</v>
      </c>
      <c r="D285" t="s">
        <v>62</v>
      </c>
      <c r="E285">
        <v>40</v>
      </c>
      <c r="F285">
        <v>3840</v>
      </c>
      <c r="G285">
        <v>2480</v>
      </c>
      <c r="H285">
        <v>153600</v>
      </c>
    </row>
    <row r="286" spans="1:8">
      <c r="A286" t="s">
        <v>362</v>
      </c>
      <c r="B286" s="18">
        <v>46270</v>
      </c>
      <c r="C286" t="s">
        <v>86</v>
      </c>
      <c r="D286" t="s">
        <v>83</v>
      </c>
      <c r="E286">
        <v>29</v>
      </c>
      <c r="F286">
        <v>2980</v>
      </c>
      <c r="G286">
        <v>1860</v>
      </c>
      <c r="H286">
        <v>86420</v>
      </c>
    </row>
    <row r="287" spans="1:8">
      <c r="A287" t="s">
        <v>363</v>
      </c>
      <c r="B287" s="18">
        <v>46271</v>
      </c>
      <c r="C287" t="s">
        <v>86</v>
      </c>
      <c r="D287" t="s">
        <v>109</v>
      </c>
      <c r="E287">
        <v>45</v>
      </c>
      <c r="F287">
        <v>2230</v>
      </c>
      <c r="G287">
        <v>1490</v>
      </c>
      <c r="H287">
        <v>100350</v>
      </c>
    </row>
    <row r="288" spans="1:8">
      <c r="A288" t="s">
        <v>364</v>
      </c>
      <c r="B288" s="18">
        <v>46272</v>
      </c>
      <c r="C288" t="s">
        <v>80</v>
      </c>
      <c r="D288" t="s">
        <v>83</v>
      </c>
      <c r="E288">
        <v>10</v>
      </c>
      <c r="F288">
        <v>2980</v>
      </c>
      <c r="G288">
        <v>1860</v>
      </c>
      <c r="H288">
        <v>29800</v>
      </c>
    </row>
    <row r="289" spans="1:8">
      <c r="A289" t="s">
        <v>365</v>
      </c>
      <c r="B289" s="18">
        <v>46272</v>
      </c>
      <c r="C289" t="s">
        <v>82</v>
      </c>
      <c r="D289" t="s">
        <v>77</v>
      </c>
      <c r="E289">
        <v>3</v>
      </c>
      <c r="F289">
        <v>1980</v>
      </c>
      <c r="G289">
        <v>1430</v>
      </c>
      <c r="H289">
        <v>5940</v>
      </c>
    </row>
    <row r="290" spans="1:8">
      <c r="A290" t="s">
        <v>366</v>
      </c>
      <c r="B290" s="18">
        <v>46273</v>
      </c>
      <c r="C290" t="s">
        <v>82</v>
      </c>
      <c r="D290" t="s">
        <v>73</v>
      </c>
      <c r="E290">
        <v>12</v>
      </c>
      <c r="F290">
        <v>1860</v>
      </c>
      <c r="G290">
        <v>1180</v>
      </c>
      <c r="H290">
        <v>22320</v>
      </c>
    </row>
    <row r="291" spans="1:8">
      <c r="A291" t="s">
        <v>367</v>
      </c>
      <c r="B291" s="18">
        <v>46273</v>
      </c>
      <c r="C291" t="s">
        <v>80</v>
      </c>
      <c r="D291" t="s">
        <v>75</v>
      </c>
      <c r="E291">
        <v>18</v>
      </c>
      <c r="F291">
        <v>1610</v>
      </c>
      <c r="G291">
        <v>870</v>
      </c>
      <c r="H291">
        <v>28980</v>
      </c>
    </row>
    <row r="292" spans="1:8">
      <c r="A292" t="s">
        <v>368</v>
      </c>
      <c r="B292" s="18">
        <v>46274</v>
      </c>
      <c r="C292" t="s">
        <v>69</v>
      </c>
      <c r="D292" t="s">
        <v>109</v>
      </c>
      <c r="E292">
        <v>10</v>
      </c>
      <c r="F292">
        <v>2230</v>
      </c>
      <c r="G292">
        <v>1490</v>
      </c>
      <c r="H292">
        <v>22300</v>
      </c>
    </row>
    <row r="293" spans="1:8">
      <c r="A293" t="s">
        <v>369</v>
      </c>
      <c r="B293" s="18">
        <v>46275</v>
      </c>
      <c r="C293" t="s">
        <v>86</v>
      </c>
      <c r="D293" t="s">
        <v>109</v>
      </c>
      <c r="E293">
        <v>60</v>
      </c>
      <c r="F293">
        <v>2230</v>
      </c>
      <c r="G293">
        <v>1490</v>
      </c>
      <c r="H293">
        <v>133800</v>
      </c>
    </row>
    <row r="294" spans="1:8">
      <c r="A294" t="s">
        <v>370</v>
      </c>
      <c r="B294" s="18">
        <v>46275</v>
      </c>
      <c r="C294" t="s">
        <v>69</v>
      </c>
      <c r="D294" t="s">
        <v>73</v>
      </c>
      <c r="E294">
        <v>43</v>
      </c>
      <c r="F294">
        <v>1860</v>
      </c>
      <c r="G294">
        <v>1180</v>
      </c>
      <c r="H294">
        <v>79980</v>
      </c>
    </row>
    <row r="295" spans="1:8">
      <c r="A295" t="s">
        <v>371</v>
      </c>
      <c r="B295" s="18">
        <v>46276</v>
      </c>
      <c r="C295" t="s">
        <v>91</v>
      </c>
      <c r="D295" t="s">
        <v>67</v>
      </c>
      <c r="E295">
        <v>36</v>
      </c>
      <c r="F295">
        <v>3970</v>
      </c>
      <c r="G295">
        <v>2850</v>
      </c>
      <c r="H295">
        <v>142920</v>
      </c>
    </row>
    <row r="296" spans="1:8">
      <c r="A296" t="s">
        <v>372</v>
      </c>
      <c r="B296" s="18">
        <v>46276</v>
      </c>
      <c r="C296" t="s">
        <v>64</v>
      </c>
      <c r="D296" t="s">
        <v>87</v>
      </c>
      <c r="E296">
        <v>13</v>
      </c>
      <c r="F296">
        <v>3220</v>
      </c>
      <c r="G296">
        <v>2230</v>
      </c>
      <c r="H296">
        <v>41860</v>
      </c>
    </row>
    <row r="297" spans="1:8">
      <c r="A297" t="s">
        <v>373</v>
      </c>
      <c r="B297" s="18">
        <v>46276</v>
      </c>
      <c r="C297" t="s">
        <v>82</v>
      </c>
      <c r="D297" t="s">
        <v>67</v>
      </c>
      <c r="E297">
        <v>17</v>
      </c>
      <c r="F297">
        <v>3970</v>
      </c>
      <c r="G297">
        <v>2850</v>
      </c>
      <c r="H297">
        <v>67490</v>
      </c>
    </row>
    <row r="298" spans="1:8">
      <c r="A298" t="s">
        <v>374</v>
      </c>
      <c r="B298" s="18">
        <v>46277</v>
      </c>
      <c r="C298" t="s">
        <v>80</v>
      </c>
      <c r="D298" t="s">
        <v>83</v>
      </c>
      <c r="E298">
        <v>15</v>
      </c>
      <c r="F298">
        <v>2980</v>
      </c>
      <c r="G298">
        <v>1860</v>
      </c>
      <c r="H298">
        <v>44700</v>
      </c>
    </row>
    <row r="299" spans="1:8">
      <c r="A299" t="s">
        <v>375</v>
      </c>
      <c r="B299" s="18">
        <v>46278</v>
      </c>
      <c r="C299" t="s">
        <v>69</v>
      </c>
      <c r="D299" t="s">
        <v>109</v>
      </c>
      <c r="E299">
        <v>18</v>
      </c>
      <c r="F299">
        <v>2230</v>
      </c>
      <c r="G299">
        <v>1490</v>
      </c>
      <c r="H299">
        <v>40140</v>
      </c>
    </row>
    <row r="300" spans="1:8">
      <c r="A300" t="s">
        <v>376</v>
      </c>
      <c r="B300" s="18">
        <v>46279</v>
      </c>
      <c r="C300" t="s">
        <v>80</v>
      </c>
      <c r="D300" t="s">
        <v>98</v>
      </c>
      <c r="E300">
        <v>4</v>
      </c>
      <c r="F300">
        <v>2110</v>
      </c>
      <c r="G300">
        <v>1300</v>
      </c>
      <c r="H300">
        <v>8440</v>
      </c>
    </row>
    <row r="301" spans="1:8">
      <c r="A301" t="s">
        <v>377</v>
      </c>
      <c r="B301" s="18">
        <v>46281</v>
      </c>
      <c r="C301" t="s">
        <v>72</v>
      </c>
      <c r="D301" t="s">
        <v>98</v>
      </c>
      <c r="E301">
        <v>15</v>
      </c>
      <c r="F301">
        <v>2110</v>
      </c>
      <c r="G301">
        <v>1300</v>
      </c>
      <c r="H301">
        <v>31650</v>
      </c>
    </row>
    <row r="302" spans="1:8">
      <c r="A302" t="s">
        <v>378</v>
      </c>
      <c r="B302" s="18">
        <v>46282</v>
      </c>
      <c r="C302" t="s">
        <v>64</v>
      </c>
      <c r="D302" t="s">
        <v>67</v>
      </c>
      <c r="E302">
        <v>12</v>
      </c>
      <c r="F302">
        <v>3970</v>
      </c>
      <c r="G302">
        <v>2850</v>
      </c>
      <c r="H302">
        <v>47640</v>
      </c>
    </row>
    <row r="303" spans="1:8">
      <c r="A303" t="s">
        <v>379</v>
      </c>
      <c r="B303" s="18">
        <v>46283</v>
      </c>
      <c r="C303" t="s">
        <v>64</v>
      </c>
      <c r="D303" t="s">
        <v>92</v>
      </c>
      <c r="E303">
        <v>16</v>
      </c>
      <c r="F303">
        <v>3600</v>
      </c>
      <c r="G303">
        <v>2360</v>
      </c>
      <c r="H303">
        <v>57600</v>
      </c>
    </row>
    <row r="304" spans="1:8">
      <c r="A304" t="s">
        <v>380</v>
      </c>
      <c r="B304" s="18">
        <v>46283</v>
      </c>
      <c r="C304" t="s">
        <v>80</v>
      </c>
      <c r="D304" t="s">
        <v>73</v>
      </c>
      <c r="E304">
        <v>9</v>
      </c>
      <c r="F304">
        <v>1860</v>
      </c>
      <c r="G304">
        <v>1180</v>
      </c>
      <c r="H304">
        <v>16740</v>
      </c>
    </row>
    <row r="305" spans="1:8">
      <c r="A305" t="s">
        <v>381</v>
      </c>
      <c r="B305" s="18">
        <v>46284</v>
      </c>
      <c r="C305" t="s">
        <v>86</v>
      </c>
      <c r="D305" t="s">
        <v>92</v>
      </c>
      <c r="E305">
        <v>41</v>
      </c>
      <c r="F305">
        <v>3600</v>
      </c>
      <c r="G305">
        <v>2360</v>
      </c>
      <c r="H305">
        <v>147600</v>
      </c>
    </row>
    <row r="306" spans="1:8">
      <c r="A306" t="s">
        <v>382</v>
      </c>
      <c r="B306" s="18">
        <v>46287</v>
      </c>
      <c r="C306" t="s">
        <v>61</v>
      </c>
      <c r="D306" t="s">
        <v>73</v>
      </c>
      <c r="E306">
        <v>20</v>
      </c>
      <c r="F306">
        <v>1860</v>
      </c>
      <c r="G306">
        <v>1180</v>
      </c>
      <c r="H306">
        <v>37200</v>
      </c>
    </row>
    <row r="307" spans="1:8">
      <c r="A307" t="s">
        <v>383</v>
      </c>
      <c r="B307" s="18">
        <v>46288</v>
      </c>
      <c r="C307" t="s">
        <v>69</v>
      </c>
      <c r="D307" t="s">
        <v>109</v>
      </c>
      <c r="E307">
        <v>40</v>
      </c>
      <c r="F307">
        <v>2230</v>
      </c>
      <c r="G307">
        <v>1490</v>
      </c>
      <c r="H307">
        <v>89200</v>
      </c>
    </row>
    <row r="308" spans="1:8">
      <c r="A308" t="s">
        <v>384</v>
      </c>
      <c r="B308" s="18">
        <v>46288</v>
      </c>
      <c r="C308" t="s">
        <v>91</v>
      </c>
      <c r="D308" t="s">
        <v>77</v>
      </c>
      <c r="E308">
        <v>53</v>
      </c>
      <c r="F308">
        <v>1980</v>
      </c>
      <c r="G308">
        <v>1430</v>
      </c>
      <c r="H308">
        <v>104940</v>
      </c>
    </row>
    <row r="309" spans="1:8">
      <c r="A309" t="s">
        <v>385</v>
      </c>
      <c r="B309" s="18">
        <v>46291</v>
      </c>
      <c r="C309" t="s">
        <v>64</v>
      </c>
      <c r="D309" t="s">
        <v>73</v>
      </c>
      <c r="E309">
        <v>7</v>
      </c>
      <c r="F309">
        <v>1860</v>
      </c>
      <c r="G309">
        <v>1180</v>
      </c>
      <c r="H309">
        <v>13020</v>
      </c>
    </row>
    <row r="310" spans="1:8">
      <c r="A310" t="s">
        <v>386</v>
      </c>
      <c r="B310" s="18">
        <v>46292</v>
      </c>
      <c r="C310" t="s">
        <v>69</v>
      </c>
      <c r="D310" t="s">
        <v>109</v>
      </c>
      <c r="E310">
        <v>51</v>
      </c>
      <c r="F310">
        <v>2230</v>
      </c>
      <c r="G310">
        <v>1490</v>
      </c>
      <c r="H310">
        <v>113730</v>
      </c>
    </row>
    <row r="311" spans="1:8">
      <c r="A311" t="s">
        <v>387</v>
      </c>
      <c r="B311" s="18">
        <v>46292</v>
      </c>
      <c r="C311" t="s">
        <v>86</v>
      </c>
      <c r="D311" t="s">
        <v>65</v>
      </c>
      <c r="E311">
        <v>9</v>
      </c>
      <c r="F311">
        <v>11780</v>
      </c>
      <c r="G311">
        <v>8680</v>
      </c>
      <c r="H311">
        <v>106020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7D28-1A3E-4062-882D-D644512020C2}">
  <dimension ref="A3:N33"/>
  <sheetViews>
    <sheetView topLeftCell="A11" workbookViewId="0">
      <selection activeCell="A34" sqref="A34"/>
    </sheetView>
  </sheetViews>
  <sheetFormatPr baseColWidth="10" defaultRowHeight="14.4"/>
  <cols>
    <col min="1" max="1" width="42.77734375" bestFit="1" customWidth="1"/>
    <col min="2" max="2" width="11.33203125" bestFit="1" customWidth="1"/>
    <col min="3" max="3" width="8.88671875" bestFit="1" customWidth="1"/>
    <col min="6" max="6" width="16.5546875" bestFit="1" customWidth="1"/>
    <col min="7" max="7" width="11.109375" bestFit="1" customWidth="1"/>
    <col min="8" max="8" width="11.33203125" bestFit="1" customWidth="1"/>
    <col min="9" max="11" width="21.21875" bestFit="1" customWidth="1"/>
    <col min="12" max="12" width="16.5546875" bestFit="1" customWidth="1"/>
    <col min="13" max="13" width="11.109375" bestFit="1" customWidth="1"/>
    <col min="14" max="14" width="11.33203125" bestFit="1" customWidth="1"/>
    <col min="15" max="17" width="21.21875" bestFit="1" customWidth="1"/>
  </cols>
  <sheetData>
    <row r="3" spans="1:14">
      <c r="A3" t="s">
        <v>11</v>
      </c>
      <c r="B3" t="s">
        <v>12</v>
      </c>
      <c r="C3" t="s">
        <v>47</v>
      </c>
      <c r="F3" s="1" t="s">
        <v>10</v>
      </c>
      <c r="G3" t="s">
        <v>11</v>
      </c>
      <c r="H3" t="s">
        <v>12</v>
      </c>
      <c r="L3" s="1" t="s">
        <v>10</v>
      </c>
      <c r="M3" t="s">
        <v>11</v>
      </c>
      <c r="N3" t="s">
        <v>12</v>
      </c>
    </row>
    <row r="4" spans="1:14">
      <c r="A4" s="3">
        <v>20504220</v>
      </c>
      <c r="B4">
        <v>6679880</v>
      </c>
      <c r="C4" s="20">
        <v>0.32578074172048488</v>
      </c>
      <c r="F4" s="2" t="s">
        <v>2</v>
      </c>
      <c r="G4" s="3">
        <v>1640700</v>
      </c>
      <c r="H4">
        <v>534250</v>
      </c>
      <c r="L4" s="2" t="s">
        <v>48</v>
      </c>
      <c r="M4" s="3">
        <v>4024300</v>
      </c>
      <c r="N4">
        <v>1252630</v>
      </c>
    </row>
    <row r="5" spans="1:14">
      <c r="F5" s="2" t="s">
        <v>3</v>
      </c>
      <c r="G5" s="3">
        <v>2938060</v>
      </c>
      <c r="H5">
        <v>940120</v>
      </c>
      <c r="L5" s="2" t="s">
        <v>49</v>
      </c>
      <c r="M5" s="3">
        <v>3550060</v>
      </c>
      <c r="N5">
        <v>1342700</v>
      </c>
    </row>
    <row r="6" spans="1:14">
      <c r="F6" s="2" t="s">
        <v>6</v>
      </c>
      <c r="G6" s="3">
        <v>2524670</v>
      </c>
      <c r="H6">
        <v>771870</v>
      </c>
      <c r="L6" s="2" t="s">
        <v>50</v>
      </c>
      <c r="M6" s="3">
        <v>7578780</v>
      </c>
      <c r="N6">
        <v>2069090</v>
      </c>
    </row>
    <row r="7" spans="1:14">
      <c r="F7" s="2" t="s">
        <v>0</v>
      </c>
      <c r="G7" s="3">
        <v>1934690</v>
      </c>
      <c r="H7">
        <v>634300</v>
      </c>
      <c r="L7" s="2" t="s">
        <v>51</v>
      </c>
      <c r="M7" s="3">
        <v>5351080</v>
      </c>
      <c r="N7">
        <v>2015460</v>
      </c>
    </row>
    <row r="8" spans="1:14">
      <c r="F8" s="2" t="s">
        <v>7</v>
      </c>
      <c r="G8" s="3">
        <v>2961130</v>
      </c>
      <c r="H8">
        <v>989290</v>
      </c>
      <c r="L8" s="2" t="s">
        <v>9</v>
      </c>
      <c r="M8" s="3">
        <v>20504220</v>
      </c>
      <c r="N8">
        <v>6679880</v>
      </c>
    </row>
    <row r="9" spans="1:14">
      <c r="F9" s="2" t="s">
        <v>5</v>
      </c>
      <c r="G9" s="3">
        <v>2452800</v>
      </c>
      <c r="H9">
        <v>758720</v>
      </c>
    </row>
    <row r="10" spans="1:14">
      <c r="F10" s="2" t="s">
        <v>4</v>
      </c>
      <c r="G10" s="3">
        <v>1868060</v>
      </c>
      <c r="H10">
        <v>622960</v>
      </c>
    </row>
    <row r="11" spans="1:14">
      <c r="F11" s="2" t="s">
        <v>1</v>
      </c>
      <c r="G11" s="3">
        <v>1876340</v>
      </c>
      <c r="H11">
        <v>686190</v>
      </c>
    </row>
    <row r="12" spans="1:14">
      <c r="F12" s="2" t="s">
        <v>8</v>
      </c>
      <c r="G12" s="3">
        <v>2307770</v>
      </c>
      <c r="H12">
        <v>742180</v>
      </c>
    </row>
    <row r="13" spans="1:14">
      <c r="F13" s="2" t="s">
        <v>9</v>
      </c>
      <c r="G13" s="3">
        <v>20504220</v>
      </c>
      <c r="H13">
        <v>6679880</v>
      </c>
    </row>
    <row r="14" spans="1:14">
      <c r="A14" t="s">
        <v>392</v>
      </c>
      <c r="B14" s="20" cm="1">
        <f t="array" ref="B14">IF(COUNTA(F4:F13)&lt;3,"n/d",INDEX(G4:G13,COUNTA(F4:F13)-1)/INDEX(G4:G13,COUNTA(F4:F13)-2)-1)</f>
        <v>0.2299316754959122</v>
      </c>
    </row>
    <row r="17" spans="1:2">
      <c r="A17" t="s">
        <v>389</v>
      </c>
    </row>
    <row r="18" spans="1:2">
      <c r="A18" t="str">
        <f>"Las ventas suman $"&amp;TEXT(A4/1000000,"0,0")&amp;" M con un margen del "&amp;TEXT(C4,"0,0%")</f>
        <v>Las ventas suman $20,5 M con un margen del 32,6%</v>
      </c>
    </row>
    <row r="19" spans="1:2">
      <c r="A19" t="str">
        <f>IF(ISNUMBER(B14),"Las ventas "&amp;IF(B14&gt;=0,"crecieron ","cayeron ")&amp;TEXT(ABS(B14),"0,0%")&amp;" contra el mes anterior","Seleccioná más de un mes para ver la tendencia")</f>
        <v>Las ventas crecieron 23,0% contra el mes anterior</v>
      </c>
    </row>
    <row r="21" spans="1:2">
      <c r="A21" t="s">
        <v>391</v>
      </c>
      <c r="B21" t="s">
        <v>12</v>
      </c>
    </row>
    <row r="22" spans="1:2">
      <c r="A22" t="s">
        <v>48</v>
      </c>
      <c r="B22">
        <f>SUMIF($L$4:$L$7,A22,$N$4:$N$7)</f>
        <v>1252630</v>
      </c>
    </row>
    <row r="23" spans="1:2">
      <c r="A23" t="s">
        <v>49</v>
      </c>
      <c r="B23">
        <f>SUMIF($L$4:$L$7,A23,$N$4:$N$7)</f>
        <v>1342700</v>
      </c>
    </row>
    <row r="24" spans="1:2">
      <c r="A24" t="s">
        <v>50</v>
      </c>
      <c r="B24">
        <f>SUMIF($L$4:$L$7,A24,$N$4:$N$7)</f>
        <v>2069090</v>
      </c>
    </row>
    <row r="25" spans="1:2">
      <c r="A25" t="s">
        <v>51</v>
      </c>
      <c r="B25">
        <f>SUMIF($L$4:$L$7,A25,$N$4:$N$7)</f>
        <v>2015460</v>
      </c>
    </row>
    <row r="26" spans="1:2">
      <c r="A26" t="s">
        <v>390</v>
      </c>
      <c r="B26">
        <f>SUM(B22:B25)</f>
        <v>6679880</v>
      </c>
    </row>
    <row r="28" spans="1:2">
      <c r="A28" t="s">
        <v>393</v>
      </c>
    </row>
    <row r="29" spans="1:2">
      <c r="A29" t="s">
        <v>397</v>
      </c>
      <c r="B29">
        <v>20000000</v>
      </c>
    </row>
    <row r="30" spans="1:2">
      <c r="A30" t="s">
        <v>394</v>
      </c>
      <c r="B30" s="7">
        <v>0.3</v>
      </c>
    </row>
    <row r="31" spans="1:2">
      <c r="A31" t="s">
        <v>395</v>
      </c>
      <c r="B31" s="7">
        <v>0</v>
      </c>
    </row>
    <row r="33" spans="1:1">
      <c r="A33" t="str">
        <f>IFERROR(INDEX(A22:A25,MATCH(MAX(B22:B25),B22:B25,0))&amp;" aporta el "&amp;TEXT(MAX(B22:B25)/B26,"0%")&amp;" del margen total","Sin datos para la selección")</f>
        <v>Lácteos aporta el 31% del margen total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0B26-6438-469C-B76D-119FF9D27B4D}">
  <dimension ref="A1:B8"/>
  <sheetViews>
    <sheetView workbookViewId="0">
      <selection activeCell="D6" sqref="D6"/>
    </sheetView>
  </sheetViews>
  <sheetFormatPr baseColWidth="10" defaultRowHeight="14.4"/>
  <cols>
    <col min="1" max="1" width="21.6640625" bestFit="1" customWidth="1"/>
  </cols>
  <sheetData>
    <row r="1" spans="1:2">
      <c r="A1" t="s">
        <v>27</v>
      </c>
    </row>
    <row r="3" spans="1:2">
      <c r="A3" t="s">
        <v>28</v>
      </c>
      <c r="B3">
        <f>GETPIVOTDATA("[Measures].[Total Ventas]",Tabla_Dinamica!$A$1)</f>
        <v>20504220</v>
      </c>
    </row>
    <row r="4" spans="1:2">
      <c r="A4" t="s">
        <v>29</v>
      </c>
      <c r="B4">
        <f>GETPIVOTDATA("[Measures].[Total Ventas]",Tabla_Dinamica!$A$1)-GETPIVOTDATA("[Measures].[Margen Neto]",Tabla_Dinamica!$A$1)</f>
        <v>13824340</v>
      </c>
    </row>
    <row r="5" spans="1:2">
      <c r="A5" t="s">
        <v>46</v>
      </c>
      <c r="B5" s="7">
        <v>0</v>
      </c>
    </row>
    <row r="6" spans="1:2">
      <c r="A6" t="s">
        <v>30</v>
      </c>
      <c r="B6">
        <f>B4*(1+B5)</f>
        <v>13824340</v>
      </c>
    </row>
    <row r="7" spans="1:2">
      <c r="A7" t="s">
        <v>12</v>
      </c>
      <c r="B7">
        <f>B3-B6</f>
        <v>6679880</v>
      </c>
    </row>
    <row r="8" spans="1:2">
      <c r="A8" t="s">
        <v>31</v>
      </c>
      <c r="B8">
        <f>B7/B3</f>
        <v>0.32578074172048488</v>
      </c>
    </row>
  </sheetData>
  <scenarios current="1" show="1" sqref="B7:B8">
    <scenario name="pesimista" locked="1" count="1" user="silvana ojeda" comment="Creado por silvana ojeda el 1/10/2026">
      <inputCells r="B5" val="0,1" numFmtId="9"/>
    </scenario>
    <scenario name="base" locked="1" count="1" user="silvana ojeda" comment="Creado por silvana ojeda el 1/10/2026">
      <inputCells r="B5" val="0" numFmtId="9"/>
    </scenario>
    <scenario name="optimista" locked="1" count="1" user="silvana ojeda" comment="Creado por silvana ojeda el 1/10/2026">
      <inputCells r="B5" val="-0,05" numFmtId="9"/>
    </scenario>
  </scenario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75EB-70F7-4FA0-B824-D0521F6FDBFF}">
  <sheetPr>
    <outlinePr summaryBelow="0"/>
  </sheetPr>
  <dimension ref="B1:G12"/>
  <sheetViews>
    <sheetView showGridLines="0" topLeftCell="A2" workbookViewId="0">
      <selection activeCell="E23" sqref="E23"/>
    </sheetView>
  </sheetViews>
  <sheetFormatPr baseColWidth="10" defaultRowHeight="14.4" outlineLevelRow="1" outlineLevelCol="1"/>
  <cols>
    <col min="3" max="3" width="5.109375" bestFit="1" customWidth="1"/>
    <col min="4" max="7" width="13.88671875" bestFit="1" customWidth="1" outlineLevel="1"/>
  </cols>
  <sheetData>
    <row r="1" spans="2:7" ht="15" thickBot="1"/>
    <row r="2" spans="2:7" ht="15.6">
      <c r="B2" s="9" t="s">
        <v>39</v>
      </c>
      <c r="C2" s="9"/>
      <c r="D2" s="13"/>
      <c r="E2" s="13"/>
      <c r="F2" s="13"/>
      <c r="G2" s="13"/>
    </row>
    <row r="3" spans="2:7" ht="15.6" collapsed="1">
      <c r="B3" s="8"/>
      <c r="C3" s="8"/>
      <c r="D3" s="14" t="s">
        <v>41</v>
      </c>
      <c r="E3" s="14" t="s">
        <v>35</v>
      </c>
      <c r="F3" s="14" t="s">
        <v>37</v>
      </c>
      <c r="G3" s="14" t="s">
        <v>38</v>
      </c>
    </row>
    <row r="4" spans="2:7" ht="21.6" hidden="1" outlineLevel="1">
      <c r="B4" s="10"/>
      <c r="C4" s="10"/>
      <c r="E4" s="16" t="s">
        <v>36</v>
      </c>
      <c r="F4" s="16" t="s">
        <v>36</v>
      </c>
      <c r="G4" s="16" t="s">
        <v>36</v>
      </c>
    </row>
    <row r="5" spans="2:7">
      <c r="B5" s="11" t="s">
        <v>40</v>
      </c>
      <c r="C5" s="11"/>
      <c r="D5" s="5"/>
      <c r="E5" s="5"/>
      <c r="F5" s="5"/>
      <c r="G5" s="5"/>
    </row>
    <row r="6" spans="2:7" outlineLevel="1">
      <c r="B6" s="10"/>
      <c r="C6" s="10" t="s">
        <v>32</v>
      </c>
      <c r="D6" s="7">
        <v>0</v>
      </c>
      <c r="E6" s="15">
        <v>0.1</v>
      </c>
      <c r="F6" s="15">
        <v>0</v>
      </c>
      <c r="G6" s="15">
        <v>-0.05</v>
      </c>
    </row>
    <row r="7" spans="2:7">
      <c r="B7" s="11" t="s">
        <v>42</v>
      </c>
      <c r="C7" s="11"/>
      <c r="D7" s="5"/>
      <c r="E7" s="5"/>
      <c r="F7" s="5"/>
      <c r="G7" s="5"/>
    </row>
    <row r="8" spans="2:7" outlineLevel="1">
      <c r="B8" s="10"/>
      <c r="C8" s="10" t="s">
        <v>33</v>
      </c>
      <c r="D8">
        <v>6679880</v>
      </c>
      <c r="E8">
        <v>5297446</v>
      </c>
      <c r="F8">
        <v>6679880</v>
      </c>
      <c r="G8">
        <v>7371097</v>
      </c>
    </row>
    <row r="9" spans="2:7" ht="15" outlineLevel="1" thickBot="1">
      <c r="B9" s="12"/>
      <c r="C9" s="12" t="s">
        <v>34</v>
      </c>
      <c r="D9" s="4">
        <v>0.32578074172048499</v>
      </c>
      <c r="E9" s="4">
        <v>0.25835881589253301</v>
      </c>
      <c r="F9" s="4">
        <v>0.32578074172048499</v>
      </c>
      <c r="G9" s="4">
        <v>0.35949170463446101</v>
      </c>
    </row>
    <row r="10" spans="2:7">
      <c r="B10" t="s">
        <v>43</v>
      </c>
    </row>
    <row r="11" spans="2:7">
      <c r="B11" t="s">
        <v>44</v>
      </c>
    </row>
    <row r="12" spans="2:7">
      <c r="B12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188F659E-3A68-4039-B32B-123D278EB559}">
  <ds:schemaRefs/>
</ds:datastoreItem>
</file>

<file path=customXml/itemProps2.xml><?xml version="1.0" encoding="utf-8"?>
<ds:datastoreItem xmlns:ds="http://schemas.openxmlformats.org/officeDocument/2006/customXml" ds:itemID="{316C54A7-F172-4563-AC88-8596AE163FEB}">
  <ds:schemaRefs/>
</ds:datastoreItem>
</file>

<file path=customXml/itemProps3.xml><?xml version="1.0" encoding="utf-8"?>
<ds:datastoreItem xmlns:ds="http://schemas.openxmlformats.org/officeDocument/2006/customXml" ds:itemID="{7F44F46C-5368-4B9B-BF7C-76680DD2FEA7}">
  <ds:schemaRefs/>
</ds:datastoreItem>
</file>

<file path=customXml/itemProps4.xml><?xml version="1.0" encoding="utf-8"?>
<ds:datastoreItem xmlns:ds="http://schemas.openxmlformats.org/officeDocument/2006/customXml" ds:itemID="{A005BF75-D0AB-4F30-8DE9-627FF623ABB7}">
  <ds:schemaRefs/>
</ds:datastoreItem>
</file>

<file path=customXml/itemProps5.xml><?xml version="1.0" encoding="utf-8"?>
<ds:datastoreItem xmlns:ds="http://schemas.openxmlformats.org/officeDocument/2006/customXml" ds:itemID="{1FC77185-F09B-41FB-BD5F-80834FA8F0AC}">
  <ds:schemaRefs/>
</ds:datastoreItem>
</file>

<file path=customXml/itemProps6.xml><?xml version="1.0" encoding="utf-8"?>
<ds:datastoreItem xmlns:ds="http://schemas.openxmlformats.org/officeDocument/2006/customXml" ds:itemID="{91A6D5A5-11F8-4FCB-A09E-F6C3E9FE0076}">
  <ds:schemaRefs/>
</ds:datastoreItem>
</file>

<file path=customXml/itemProps7.xml><?xml version="1.0" encoding="utf-8"?>
<ds:datastoreItem xmlns:ds="http://schemas.openxmlformats.org/officeDocument/2006/customXml" ds:itemID="{3D13927F-98F4-47E2-9AD8-CB9D6DEFB9D8}">
  <ds:schemaRefs/>
</ds:datastoreItem>
</file>

<file path=customXml/itemProps8.xml><?xml version="1.0" encoding="utf-8"?>
<ds:datastoreItem xmlns:ds="http://schemas.openxmlformats.org/officeDocument/2006/customXml" ds:itemID="{9B420B79-04E5-4C91-BA93-C12C152ECC0D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D109EA02-C6D2-4710-87AD-92D9667C506D}">
  <ds:schemaRefs/>
</ds:datastoreItem>
</file>

<file path=customXml/itemProps10.xml><?xml version="1.0" encoding="utf-8"?>
<ds:datastoreItem xmlns:ds="http://schemas.openxmlformats.org/officeDocument/2006/customXml" ds:itemID="{F6831A2B-71DC-4C3F-A03E-F4535DEC74C0}">
  <ds:schemaRefs/>
</ds:datastoreItem>
</file>

<file path=customXml/itemProps11.xml><?xml version="1.0" encoding="utf-8"?>
<ds:datastoreItem xmlns:ds="http://schemas.openxmlformats.org/officeDocument/2006/customXml" ds:itemID="{0AD4A061-B263-4264-94D6-FF6886D577BB}">
  <ds:schemaRefs/>
</ds:datastoreItem>
</file>

<file path=customXml/itemProps12.xml><?xml version="1.0" encoding="utf-8"?>
<ds:datastoreItem xmlns:ds="http://schemas.openxmlformats.org/officeDocument/2006/customXml" ds:itemID="{8FE2FBA0-677C-46C5-8B77-064BA305072C}">
  <ds:schemaRefs/>
</ds:datastoreItem>
</file>

<file path=customXml/itemProps13.xml><?xml version="1.0" encoding="utf-8"?>
<ds:datastoreItem xmlns:ds="http://schemas.openxmlformats.org/officeDocument/2006/customXml" ds:itemID="{E592E3E9-8414-4DC2-9F1B-9B87C4D2674E}">
  <ds:schemaRefs/>
</ds:datastoreItem>
</file>

<file path=customXml/itemProps14.xml><?xml version="1.0" encoding="utf-8"?>
<ds:datastoreItem xmlns:ds="http://schemas.openxmlformats.org/officeDocument/2006/customXml" ds:itemID="{F6E7C5CE-3987-447D-A036-F6C4D7AFE620}">
  <ds:schemaRefs/>
</ds:datastoreItem>
</file>

<file path=customXml/itemProps15.xml><?xml version="1.0" encoding="utf-8"?>
<ds:datastoreItem xmlns:ds="http://schemas.openxmlformats.org/officeDocument/2006/customXml" ds:itemID="{248C7D3E-6294-47F1-9C66-3D9161E5132D}">
  <ds:schemaRefs/>
</ds:datastoreItem>
</file>

<file path=customXml/itemProps16.xml><?xml version="1.0" encoding="utf-8"?>
<ds:datastoreItem xmlns:ds="http://schemas.openxmlformats.org/officeDocument/2006/customXml" ds:itemID="{F3714A2A-0737-4895-B3FD-40ABB0BEA02C}">
  <ds:schemaRefs/>
</ds:datastoreItem>
</file>

<file path=customXml/itemProps17.xml><?xml version="1.0" encoding="utf-8"?>
<ds:datastoreItem xmlns:ds="http://schemas.openxmlformats.org/officeDocument/2006/customXml" ds:itemID="{36621A75-7E8D-4556-870E-F79390041D00}">
  <ds:schemaRefs/>
</ds:datastoreItem>
</file>

<file path=customXml/itemProps18.xml><?xml version="1.0" encoding="utf-8"?>
<ds:datastoreItem xmlns:ds="http://schemas.openxmlformats.org/officeDocument/2006/customXml" ds:itemID="{B2937D7B-BB80-4D39-965B-B12FA4F4A528}">
  <ds:schemaRefs/>
</ds:datastoreItem>
</file>

<file path=customXml/itemProps19.xml><?xml version="1.0" encoding="utf-8"?>
<ds:datastoreItem xmlns:ds="http://schemas.openxmlformats.org/officeDocument/2006/customXml" ds:itemID="{CFE046C5-5250-43CE-B536-FAF21CEA69F9}">
  <ds:schemaRefs/>
</ds:datastoreItem>
</file>

<file path=customXml/itemProps20.xml><?xml version="1.0" encoding="utf-8"?>
<ds:datastoreItem xmlns:ds="http://schemas.openxmlformats.org/officeDocument/2006/customXml" ds:itemID="{CABED0BE-C780-4A9E-8957-C9E11184AC41}">
  <ds:schemaRefs/>
</ds:datastoreItem>
</file>

<file path=customXml/itemProps21.xml><?xml version="1.0" encoding="utf-8"?>
<ds:datastoreItem xmlns:ds="http://schemas.openxmlformats.org/officeDocument/2006/customXml" ds:itemID="{3A7C5F43-2E41-4784-8DF4-D6981BD8636A}">
  <ds:schemaRefs/>
</ds:datastoreItem>
</file>

<file path=customXml/itemProps22.xml><?xml version="1.0" encoding="utf-8"?>
<ds:datastoreItem xmlns:ds="http://schemas.openxmlformats.org/officeDocument/2006/customXml" ds:itemID="{D9772A74-DE4B-419B-90F1-D78EF2A15F68}">
  <ds:schemaRefs/>
</ds:datastoreItem>
</file>

<file path=customXml/itemProps23.xml><?xml version="1.0" encoding="utf-8"?>
<ds:datastoreItem xmlns:ds="http://schemas.openxmlformats.org/officeDocument/2006/customXml" ds:itemID="{A05CC436-6BC2-49E3-B805-56BDC56DE3AF}">
  <ds:schemaRefs/>
</ds:datastoreItem>
</file>

<file path=customXml/itemProps24.xml><?xml version="1.0" encoding="utf-8"?>
<ds:datastoreItem xmlns:ds="http://schemas.openxmlformats.org/officeDocument/2006/customXml" ds:itemID="{CA3A64EE-4E46-4E60-87BE-E6D805D82F1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Dashboard Final</vt:lpstr>
      <vt:lpstr>Datos_Analisis</vt:lpstr>
      <vt:lpstr>Estadisticas</vt:lpstr>
      <vt:lpstr>Tabla_Dinamica</vt:lpstr>
      <vt:lpstr>Hoja2</vt:lpstr>
      <vt:lpstr>Calculos</vt:lpstr>
      <vt:lpstr>Escenarios</vt:lpstr>
      <vt:lpstr>Resumen del escenario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Silvana Ojeda</dc:creator>
  <cp:lastModifiedBy>Silvana Ojeda</cp:lastModifiedBy>
  <dcterms:created xsi:type="dcterms:W3CDTF">2026-09-30T18:56:53Z</dcterms:created>
  <dcterms:modified xsi:type="dcterms:W3CDTF">2026-10-01T23:35:43Z</dcterms:modified>
</cp:coreProperties>
</file>